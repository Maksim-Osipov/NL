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ax26\OneDrive\Рабочий стол\Новые Люди\"/>
    </mc:Choice>
  </mc:AlternateContent>
  <xr:revisionPtr revIDLastSave="0" documentId="13_ncr:1_{3197E061-D9ED-464D-B970-E14CE8375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Математика " sheetId="1" r:id="rId1"/>
    <sheet name="Смета 207 ИО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3" l="1"/>
  <c r="G2" i="3"/>
  <c r="G14" i="3"/>
  <c r="G21" i="3"/>
  <c r="G17" i="3"/>
  <c r="G9" i="3"/>
  <c r="G8" i="3"/>
  <c r="G4" i="3"/>
  <c r="G5" i="3"/>
  <c r="G6" i="3"/>
  <c r="G16" i="3"/>
  <c r="G13" i="3"/>
  <c r="G20" i="3"/>
  <c r="G19" i="3"/>
  <c r="G15" i="3"/>
  <c r="G12" i="3"/>
  <c r="G11" i="3"/>
  <c r="G3" i="3"/>
  <c r="E25" i="1"/>
  <c r="E28" i="1" s="1"/>
  <c r="E23" i="1"/>
  <c r="E20" i="1"/>
  <c r="E18" i="1"/>
  <c r="E15" i="1"/>
  <c r="E13" i="1"/>
  <c r="E10" i="1"/>
  <c r="E4" i="1"/>
  <c r="E6" i="1" s="1"/>
  <c r="E8" i="1" s="1"/>
  <c r="G10" i="3" l="1"/>
  <c r="E29" i="1"/>
  <c r="E30" i="1"/>
  <c r="G7" i="3" l="1"/>
  <c r="G22" i="3" s="1"/>
</calcChain>
</file>

<file path=xl/sharedStrings.xml><?xml version="1.0" encoding="utf-8"?>
<sst xmlns="http://schemas.openxmlformats.org/spreadsheetml/2006/main" count="53" uniqueCount="43">
  <si>
    <t>Кол-во избирателей</t>
  </si>
  <si>
    <t>Явка (%)</t>
  </si>
  <si>
    <t>Явка (чел)</t>
  </si>
  <si>
    <t>Результат НЛ на выборах (%)</t>
  </si>
  <si>
    <t>Результат  НЛ на выборах (чел)</t>
  </si>
  <si>
    <t>Всего контактов</t>
  </si>
  <si>
    <t>Инструмент ОДД</t>
  </si>
  <si>
    <t>Кол-во контактов</t>
  </si>
  <si>
    <t>Кол-во повторений\смен</t>
  </si>
  <si>
    <t>Итого голосов с учетом конверсии 30%</t>
  </si>
  <si>
    <t>Инструмент Встречи во дворе</t>
  </si>
  <si>
    <t>Инструмент Сбор подписей (пикеты)</t>
  </si>
  <si>
    <t>Реакционные мероприятия</t>
  </si>
  <si>
    <t>ИТОГО</t>
  </si>
  <si>
    <t>Задача</t>
  </si>
  <si>
    <t>Количество</t>
  </si>
  <si>
    <t xml:space="preserve">Стоимость </t>
  </si>
  <si>
    <t>Июль</t>
  </si>
  <si>
    <t>Август</t>
  </si>
  <si>
    <t>Сентябрь</t>
  </si>
  <si>
    <t>Всего</t>
  </si>
  <si>
    <t>Полевая деятельность</t>
  </si>
  <si>
    <t>Пикеты</t>
  </si>
  <si>
    <t>Ангелы</t>
  </si>
  <si>
    <t>Мальчики с шариками</t>
  </si>
  <si>
    <t>Медиа</t>
  </si>
  <si>
    <t>Видеоролики</t>
  </si>
  <si>
    <t>Встречи</t>
  </si>
  <si>
    <t>Печать приглашений на встречи</t>
  </si>
  <si>
    <t>Раcклейка на встречи</t>
  </si>
  <si>
    <t>Мобилизация</t>
  </si>
  <si>
    <t>Колл-центр</t>
  </si>
  <si>
    <t>Итого</t>
  </si>
  <si>
    <t>Мероприятия</t>
  </si>
  <si>
    <t>Праздник Двора</t>
  </si>
  <si>
    <t>Избирательный округ 207 ИО</t>
  </si>
  <si>
    <t>Агитационные листовки</t>
  </si>
  <si>
    <t>Таргет в социальных сетях</t>
  </si>
  <si>
    <t>Аренда залов для встреч</t>
  </si>
  <si>
    <t>СМС-рассылка</t>
  </si>
  <si>
    <t>Эко-акции</t>
  </si>
  <si>
    <t>Автопробеги</t>
  </si>
  <si>
    <t>Информационные стенды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</si>
</sst>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#\ ##0"/>
    <numFmt numFmtId="167" formatCode="_-* #\ ##0\ [$₽-419]_-;\-* #\ ##0\ [$₽-419]_-;_-* &quot;-&quot;??\ [$₽-419]_-;_-@_-"/>
    <numFmt numFmtId="168" formatCode="_-* #\ ##0.0\ [$₽-419]_-;\-* #\ ##0.0\ [$₽-419]_-;_-* &quot;-&quot;??\ [$₽-419]_-;_-@_-"/>
  </numFmts>
  <fonts count="9">
    <font>
      <sz val="11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FF0000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Aptos Narrow"/>
      <charset val="134"/>
      <scheme val="minor"/>
    </font>
    <font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FF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66" fontId="1" fillId="0" borderId="1" xfId="1" applyNumberFormat="1" applyFont="1" applyBorder="1" applyAlignment="1">
      <alignment horizontal="center" vertical="center"/>
    </xf>
    <xf numFmtId="167" fontId="1" fillId="0" borderId="1" xfId="2" applyNumberFormat="1" applyFont="1" applyBorder="1" applyAlignment="1">
      <alignment horizontal="center" vertical="center"/>
    </xf>
    <xf numFmtId="167" fontId="1" fillId="0" borderId="1" xfId="1" applyNumberFormat="1" applyFont="1" applyBorder="1" applyAlignment="1">
      <alignment horizontal="center" vertical="center"/>
    </xf>
    <xf numFmtId="167" fontId="2" fillId="2" borderId="3" xfId="2" applyNumberFormat="1" applyFont="1" applyFill="1" applyBorder="1" applyAlignment="1">
      <alignment horizontal="center" vertical="center"/>
    </xf>
    <xf numFmtId="167" fontId="2" fillId="2" borderId="3" xfId="1" applyNumberFormat="1" applyFont="1" applyFill="1" applyBorder="1" applyAlignment="1">
      <alignment horizontal="center" vertical="center"/>
    </xf>
    <xf numFmtId="167" fontId="2" fillId="2" borderId="4" xfId="1" applyNumberFormat="1" applyFont="1" applyFill="1" applyBorder="1" applyAlignment="1">
      <alignment horizontal="center" vertical="center"/>
    </xf>
    <xf numFmtId="167" fontId="1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167" fontId="2" fillId="0" borderId="1" xfId="2" applyNumberFormat="1" applyFont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center" vertical="center"/>
    </xf>
    <xf numFmtId="167" fontId="2" fillId="0" borderId="1" xfId="2" applyNumberFormat="1" applyFont="1" applyFill="1" applyBorder="1" applyAlignment="1">
      <alignment horizontal="center" vertical="center"/>
    </xf>
    <xf numFmtId="167" fontId="2" fillId="3" borderId="1" xfId="2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7" fontId="2" fillId="0" borderId="3" xfId="2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166" fontId="6" fillId="0" borderId="5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wrapText="1"/>
    </xf>
    <xf numFmtId="0" fontId="3" fillId="5" borderId="6" xfId="0" applyFont="1" applyFill="1" applyBorder="1" applyAlignment="1">
      <alignment horizontal="center" vertical="center"/>
    </xf>
    <xf numFmtId="167" fontId="2" fillId="0" borderId="2" xfId="1" applyNumberFormat="1" applyFont="1" applyBorder="1" applyAlignment="1">
      <alignment horizontal="center" vertical="center"/>
    </xf>
    <xf numFmtId="167" fontId="2" fillId="0" borderId="4" xfId="1" applyNumberFormat="1" applyFont="1" applyBorder="1" applyAlignment="1">
      <alignment horizontal="center" vertical="center"/>
    </xf>
    <xf numFmtId="166" fontId="2" fillId="2" borderId="3" xfId="1" applyNumberFormat="1" applyFont="1" applyFill="1" applyBorder="1" applyAlignment="1">
      <alignment horizontal="center" vertical="center"/>
    </xf>
    <xf numFmtId="166" fontId="2" fillId="2" borderId="4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6" fontId="2" fillId="2" borderId="2" xfId="1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166" fontId="2" fillId="2" borderId="3" xfId="1" applyNumberFormat="1" applyFont="1" applyFill="1" applyBorder="1" applyAlignment="1">
      <alignment horizontal="center" vertical="center"/>
    </xf>
    <xf numFmtId="166" fontId="2" fillId="2" borderId="4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3"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E39"/>
  <sheetViews>
    <sheetView tabSelected="1" topLeftCell="A17" zoomScale="92" zoomScaleNormal="92" workbookViewId="0">
      <selection activeCell="G28" sqref="G28"/>
    </sheetView>
  </sheetViews>
  <sheetFormatPr defaultColWidth="9" defaultRowHeight="14.4"/>
  <cols>
    <col min="1" max="1" width="30.6640625" customWidth="1"/>
    <col min="2" max="2" width="15.6640625" customWidth="1"/>
    <col min="3" max="3" width="10.6640625" customWidth="1"/>
    <col min="4" max="4" width="30.6640625" customWidth="1"/>
    <col min="5" max="5" width="15.6640625" customWidth="1"/>
    <col min="6" max="6" width="10.6640625" customWidth="1"/>
    <col min="7" max="7" width="30.6640625" customWidth="1"/>
    <col min="8" max="8" width="15.6640625" customWidth="1"/>
  </cols>
  <sheetData>
    <row r="1" spans="3:5" ht="15" customHeight="1">
      <c r="C1" s="26"/>
      <c r="D1" s="44" t="s">
        <v>35</v>
      </c>
      <c r="E1" s="44"/>
    </row>
    <row r="2" spans="3:5" ht="15" customHeight="1">
      <c r="C2" s="26"/>
      <c r="D2" s="27" t="s">
        <v>0</v>
      </c>
      <c r="E2" s="28">
        <v>509076</v>
      </c>
    </row>
    <row r="3" spans="3:5" ht="15" customHeight="1">
      <c r="C3" s="26"/>
      <c r="D3" s="27" t="s">
        <v>1</v>
      </c>
      <c r="E3" s="29">
        <v>0.2</v>
      </c>
    </row>
    <row r="4" spans="3:5" ht="15" customHeight="1">
      <c r="C4" s="26"/>
      <c r="D4" s="27" t="s">
        <v>2</v>
      </c>
      <c r="E4" s="30">
        <f>E2*E3</f>
        <v>101815.20000000001</v>
      </c>
    </row>
    <row r="5" spans="3:5" ht="15" customHeight="1">
      <c r="C5" s="26"/>
      <c r="D5" s="27" t="s">
        <v>3</v>
      </c>
      <c r="E5" s="29">
        <v>0.5</v>
      </c>
    </row>
    <row r="6" spans="3:5" ht="15" customHeight="1">
      <c r="C6" s="26"/>
      <c r="D6" s="27" t="s">
        <v>4</v>
      </c>
      <c r="E6" s="30">
        <f>E4*0.5</f>
        <v>50907.600000000006</v>
      </c>
    </row>
    <row r="7" spans="3:5" ht="15" customHeight="1">
      <c r="C7" s="26"/>
      <c r="D7" s="31"/>
      <c r="E7" s="31"/>
    </row>
    <row r="8" spans="3:5" ht="15" customHeight="1">
      <c r="C8" s="26"/>
      <c r="D8" s="27" t="s">
        <v>5</v>
      </c>
      <c r="E8" s="30">
        <f>E6*3</f>
        <v>152722.80000000002</v>
      </c>
    </row>
    <row r="9" spans="3:5" ht="15" customHeight="1">
      <c r="C9" s="26"/>
      <c r="D9" s="31"/>
      <c r="E9" s="31"/>
    </row>
    <row r="10" spans="3:5" ht="15" customHeight="1">
      <c r="C10" s="26"/>
      <c r="D10" s="25" t="s">
        <v>6</v>
      </c>
      <c r="E10" s="25">
        <f>PRODUCT(E11:E12)</f>
        <v>50000</v>
      </c>
    </row>
    <row r="11" spans="3:5" ht="15" customHeight="1">
      <c r="C11" s="26"/>
      <c r="D11" s="32" t="s">
        <v>7</v>
      </c>
      <c r="E11" s="33">
        <v>2000</v>
      </c>
    </row>
    <row r="12" spans="3:5" ht="19.8" customHeight="1">
      <c r="C12" s="26"/>
      <c r="D12" s="32" t="s">
        <v>8</v>
      </c>
      <c r="E12" s="33">
        <v>25</v>
      </c>
    </row>
    <row r="13" spans="3:5" ht="25.2" customHeight="1">
      <c r="C13" s="26"/>
      <c r="D13" s="32" t="s">
        <v>9</v>
      </c>
      <c r="E13" s="33">
        <f>PRODUCT(E11:E12)*0.3</f>
        <v>15000</v>
      </c>
    </row>
    <row r="14" spans="3:5" ht="15" customHeight="1">
      <c r="C14" s="26"/>
      <c r="D14" s="32"/>
      <c r="E14" s="33"/>
    </row>
    <row r="15" spans="3:5" ht="15" customHeight="1">
      <c r="C15" s="26"/>
      <c r="D15" s="25" t="s">
        <v>10</v>
      </c>
      <c r="E15" s="25">
        <f>PRODUCT(E16:E17)</f>
        <v>20000</v>
      </c>
    </row>
    <row r="16" spans="3:5" ht="15" customHeight="1">
      <c r="C16" s="26"/>
      <c r="D16" s="32" t="s">
        <v>7</v>
      </c>
      <c r="E16" s="33">
        <v>800</v>
      </c>
    </row>
    <row r="17" spans="3:5" ht="15" customHeight="1">
      <c r="C17" s="26"/>
      <c r="D17" s="32" t="s">
        <v>8</v>
      </c>
      <c r="E17" s="33">
        <v>25</v>
      </c>
    </row>
    <row r="18" spans="3:5" ht="22.8" customHeight="1">
      <c r="C18" s="26"/>
      <c r="D18" s="32" t="s">
        <v>9</v>
      </c>
      <c r="E18" s="33">
        <f>PRODUCT(E16:E17)*0.3</f>
        <v>6000</v>
      </c>
    </row>
    <row r="19" spans="3:5" ht="15" customHeight="1">
      <c r="C19" s="26"/>
      <c r="D19" s="32"/>
      <c r="E19" s="33"/>
    </row>
    <row r="20" spans="3:5" ht="28.2" customHeight="1">
      <c r="C20" s="26"/>
      <c r="D20" s="25" t="s">
        <v>11</v>
      </c>
      <c r="E20" s="25">
        <f>PRODUCT(E21:E22)</f>
        <v>100000</v>
      </c>
    </row>
    <row r="21" spans="3:5" ht="15" customHeight="1">
      <c r="C21" s="26"/>
      <c r="D21" s="32" t="s">
        <v>7</v>
      </c>
      <c r="E21" s="33">
        <v>4000</v>
      </c>
    </row>
    <row r="22" spans="3:5" ht="27.6" customHeight="1">
      <c r="C22" s="26"/>
      <c r="D22" s="32" t="s">
        <v>8</v>
      </c>
      <c r="E22" s="33">
        <v>25</v>
      </c>
    </row>
    <row r="23" spans="3:5" ht="24.6" customHeight="1">
      <c r="C23" s="26"/>
      <c r="D23" s="32" t="s">
        <v>9</v>
      </c>
      <c r="E23" s="33">
        <f>PRODUCT(E21:E22)*0.3</f>
        <v>30000</v>
      </c>
    </row>
    <row r="24" spans="3:5" ht="20.399999999999999" customHeight="1">
      <c r="C24" s="26"/>
      <c r="D24" s="32"/>
      <c r="E24" s="33"/>
    </row>
    <row r="25" spans="3:5" ht="30" customHeight="1">
      <c r="C25" s="26"/>
      <c r="D25" s="25" t="s">
        <v>12</v>
      </c>
      <c r="E25" s="25">
        <f>PRODUCT(E26:E27)</f>
        <v>30000</v>
      </c>
    </row>
    <row r="26" spans="3:5" ht="15" customHeight="1">
      <c r="C26" s="26"/>
      <c r="D26" s="32" t="s">
        <v>7</v>
      </c>
      <c r="E26" s="33">
        <v>1200</v>
      </c>
    </row>
    <row r="27" spans="3:5" ht="15" customHeight="1">
      <c r="C27" s="26"/>
      <c r="D27" s="32" t="s">
        <v>8</v>
      </c>
      <c r="E27" s="33">
        <v>25</v>
      </c>
    </row>
    <row r="28" spans="3:5" ht="28.8" customHeight="1">
      <c r="C28" s="26"/>
      <c r="D28" s="32" t="s">
        <v>9</v>
      </c>
      <c r="E28" s="33">
        <f>E25*0.3</f>
        <v>9000</v>
      </c>
    </row>
    <row r="29" spans="3:5" ht="15" customHeight="1">
      <c r="C29" s="26"/>
      <c r="D29" s="25" t="s">
        <v>13</v>
      </c>
      <c r="E29" s="25">
        <f>E10+E15+E20+E25</f>
        <v>200000</v>
      </c>
    </row>
    <row r="30" spans="3:5" ht="31.2" customHeight="1">
      <c r="C30" s="26"/>
      <c r="D30" s="34" t="s">
        <v>9</v>
      </c>
      <c r="E30" s="35">
        <f>E29*0.3</f>
        <v>60000</v>
      </c>
    </row>
    <row r="31" spans="3:5" ht="15" customHeight="1">
      <c r="C31" s="26"/>
    </row>
    <row r="32" spans="3:5" ht="15" customHeight="1">
      <c r="C32" s="26"/>
    </row>
    <row r="33" spans="3:3" ht="28.8" customHeight="1">
      <c r="C33" s="26"/>
    </row>
    <row r="34" spans="3:3" ht="15" customHeight="1">
      <c r="C34" s="26"/>
    </row>
    <row r="35" spans="3:3" ht="15" customHeight="1">
      <c r="C35" s="26"/>
    </row>
    <row r="36" spans="3:3" ht="15" customHeight="1">
      <c r="C36" s="26"/>
    </row>
    <row r="37" spans="3:3" ht="15" customHeight="1">
      <c r="C37" s="26"/>
    </row>
    <row r="38" spans="3:3" ht="15" customHeight="1">
      <c r="C38" s="26"/>
    </row>
    <row r="39" spans="3:3" ht="15" customHeight="1">
      <c r="C39" s="26"/>
    </row>
  </sheetData>
  <mergeCells count="1">
    <mergeCell ref="D1:E1"/>
  </mergeCells>
  <pageMargins left="0.7" right="0.7" top="0.75" bottom="0.75" header="0.3" footer="0.3"/>
  <ignoredErrors>
    <ignoredError sqref="C1:C10 C11 C12 C13:C15 C16:C17 C18:C20 C21 C22 C23:C25 C26:C28 C29:C30 C31 C32 C33:C36 C37 C38 C3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activeCell="I23" sqref="I23"/>
    </sheetView>
  </sheetViews>
  <sheetFormatPr defaultColWidth="9.109375" defaultRowHeight="14.4"/>
  <cols>
    <col min="1" max="1" width="32.77734375" style="1" customWidth="1"/>
    <col min="2" max="7" width="15.6640625" style="1" customWidth="1"/>
    <col min="8" max="16384" width="9.109375" style="1"/>
  </cols>
  <sheetData>
    <row r="1" spans="1:7" ht="15" customHeight="1">
      <c r="A1" s="2" t="s">
        <v>14</v>
      </c>
      <c r="B1" s="3" t="s">
        <v>15</v>
      </c>
      <c r="C1" s="4" t="s">
        <v>16</v>
      </c>
      <c r="D1" s="4" t="s">
        <v>17</v>
      </c>
      <c r="E1" s="5" t="s">
        <v>18</v>
      </c>
      <c r="F1" s="5" t="s">
        <v>19</v>
      </c>
      <c r="G1" s="5" t="s">
        <v>20</v>
      </c>
    </row>
    <row r="2" spans="1:7" ht="15" customHeight="1">
      <c r="A2" s="22" t="s">
        <v>21</v>
      </c>
      <c r="B2" s="43"/>
      <c r="C2" s="6"/>
      <c r="D2" s="6"/>
      <c r="E2" s="7"/>
      <c r="F2" s="8"/>
      <c r="G2" s="9">
        <f>SUM(G3:G6)</f>
        <v>2750000</v>
      </c>
    </row>
    <row r="3" spans="1:7" ht="15" customHeight="1">
      <c r="A3" s="23" t="s">
        <v>22</v>
      </c>
      <c r="B3" s="11">
        <v>200</v>
      </c>
      <c r="C3" s="12">
        <v>3000</v>
      </c>
      <c r="D3" s="12">
        <v>150000</v>
      </c>
      <c r="E3" s="13">
        <v>300000</v>
      </c>
      <c r="F3" s="13">
        <v>150000</v>
      </c>
      <c r="G3" s="13">
        <f t="shared" ref="G3:G6" si="0">SUM(D3:F3)</f>
        <v>600000</v>
      </c>
    </row>
    <row r="4" spans="1:7" ht="15" customHeight="1">
      <c r="A4" s="23" t="s">
        <v>23</v>
      </c>
      <c r="B4" s="11">
        <v>150</v>
      </c>
      <c r="C4" s="12">
        <v>1500</v>
      </c>
      <c r="D4" s="12">
        <v>45000</v>
      </c>
      <c r="E4" s="36">
        <v>90000</v>
      </c>
      <c r="F4" s="37">
        <v>90000</v>
      </c>
      <c r="G4" s="13">
        <f t="shared" si="0"/>
        <v>225000</v>
      </c>
    </row>
    <row r="5" spans="1:7" ht="15" customHeight="1">
      <c r="A5" s="23" t="s">
        <v>24</v>
      </c>
      <c r="B5" s="11">
        <v>150</v>
      </c>
      <c r="C5" s="12">
        <v>1500</v>
      </c>
      <c r="D5" s="12">
        <v>45000</v>
      </c>
      <c r="E5" s="36">
        <v>90000</v>
      </c>
      <c r="F5" s="37">
        <v>90000</v>
      </c>
      <c r="G5" s="13">
        <f t="shared" si="0"/>
        <v>225000</v>
      </c>
    </row>
    <row r="6" spans="1:7" ht="15" customHeight="1">
      <c r="A6" s="47" t="s">
        <v>36</v>
      </c>
      <c r="B6" s="11">
        <v>340000</v>
      </c>
      <c r="C6" s="12">
        <v>5</v>
      </c>
      <c r="D6" s="12">
        <v>600000</v>
      </c>
      <c r="E6" s="36">
        <v>700000</v>
      </c>
      <c r="F6" s="37">
        <v>400000</v>
      </c>
      <c r="G6" s="13">
        <f t="shared" si="0"/>
        <v>1700000</v>
      </c>
    </row>
    <row r="7" spans="1:7" ht="15" customHeight="1">
      <c r="A7" s="22" t="s">
        <v>25</v>
      </c>
      <c r="B7" s="45"/>
      <c r="C7" s="45"/>
      <c r="D7" s="45"/>
      <c r="E7" s="45"/>
      <c r="F7" s="46"/>
      <c r="G7" s="9">
        <f>SUM(G8:G9)</f>
        <v>800000</v>
      </c>
    </row>
    <row r="8" spans="1:7" ht="15" customHeight="1">
      <c r="A8" s="24" t="s">
        <v>26</v>
      </c>
      <c r="B8" s="14">
        <v>40</v>
      </c>
      <c r="C8" s="15">
        <v>150000</v>
      </c>
      <c r="D8" s="16">
        <v>100000</v>
      </c>
      <c r="E8" s="16">
        <v>150000</v>
      </c>
      <c r="F8" s="16">
        <v>150000</v>
      </c>
      <c r="G8" s="15">
        <f>SUM(D8:F8)</f>
        <v>400000</v>
      </c>
    </row>
    <row r="9" spans="1:7" ht="15" customHeight="1">
      <c r="A9" s="48" t="s">
        <v>37</v>
      </c>
      <c r="B9" s="14">
        <v>1</v>
      </c>
      <c r="C9" s="15">
        <v>400000</v>
      </c>
      <c r="D9" s="16">
        <v>100000</v>
      </c>
      <c r="E9" s="16">
        <v>200000</v>
      </c>
      <c r="F9" s="16">
        <v>100000</v>
      </c>
      <c r="G9" s="15">
        <f>SUM(D9:F9)</f>
        <v>400000</v>
      </c>
    </row>
    <row r="10" spans="1:7" ht="15" customHeight="1">
      <c r="A10" s="22" t="s">
        <v>27</v>
      </c>
      <c r="B10" s="38"/>
      <c r="C10" s="38"/>
      <c r="D10" s="38"/>
      <c r="E10" s="38"/>
      <c r="F10" s="39"/>
      <c r="G10" s="9">
        <f>SUM(G11:G13)</f>
        <v>800000</v>
      </c>
    </row>
    <row r="11" spans="1:7" ht="15" customHeight="1">
      <c r="A11" s="23" t="s">
        <v>28</v>
      </c>
      <c r="B11" s="11">
        <v>50000</v>
      </c>
      <c r="C11" s="12">
        <v>5</v>
      </c>
      <c r="D11" s="12">
        <v>100000</v>
      </c>
      <c r="E11" s="13">
        <v>150000</v>
      </c>
      <c r="F11" s="13">
        <v>50000</v>
      </c>
      <c r="G11" s="13">
        <f t="shared" ref="G11:G12" si="1">SUM(D11:F11)</f>
        <v>300000</v>
      </c>
    </row>
    <row r="12" spans="1:7" ht="15" customHeight="1">
      <c r="A12" s="23" t="s">
        <v>29</v>
      </c>
      <c r="B12" s="11">
        <v>50000</v>
      </c>
      <c r="C12" s="17">
        <v>5</v>
      </c>
      <c r="D12" s="12">
        <v>100000</v>
      </c>
      <c r="E12" s="13">
        <v>150000</v>
      </c>
      <c r="F12" s="13">
        <v>50000</v>
      </c>
      <c r="G12" s="13">
        <f t="shared" si="1"/>
        <v>300000</v>
      </c>
    </row>
    <row r="13" spans="1:7" ht="15" customHeight="1">
      <c r="A13" s="47" t="s">
        <v>38</v>
      </c>
      <c r="B13" s="11">
        <v>10</v>
      </c>
      <c r="C13" s="17">
        <v>20000</v>
      </c>
      <c r="D13" s="12">
        <v>60000</v>
      </c>
      <c r="E13" s="13">
        <v>100000</v>
      </c>
      <c r="F13" s="13">
        <v>40000</v>
      </c>
      <c r="G13" s="13">
        <f>SUM(D13:F13)</f>
        <v>200000</v>
      </c>
    </row>
    <row r="14" spans="1:7" ht="15" customHeight="1">
      <c r="A14" s="22" t="s">
        <v>33</v>
      </c>
      <c r="B14" s="40"/>
      <c r="C14" s="41"/>
      <c r="D14" s="41"/>
      <c r="E14" s="41"/>
      <c r="F14" s="42"/>
      <c r="G14" s="18">
        <f>SUM(G15:G17)</f>
        <v>1800000</v>
      </c>
    </row>
    <row r="15" spans="1:7" ht="15" customHeight="1">
      <c r="A15" s="47" t="s">
        <v>40</v>
      </c>
      <c r="B15" s="10">
        <v>25</v>
      </c>
      <c r="C15" s="19">
        <v>25000</v>
      </c>
      <c r="D15" s="19">
        <v>150000</v>
      </c>
      <c r="E15" s="19">
        <v>250000</v>
      </c>
      <c r="F15" s="19">
        <v>100000</v>
      </c>
      <c r="G15" s="20">
        <f>SUM(D15:F15)</f>
        <v>500000</v>
      </c>
    </row>
    <row r="16" spans="1:7" ht="15" customHeight="1">
      <c r="A16" s="23" t="s">
        <v>34</v>
      </c>
      <c r="B16" s="10">
        <v>40</v>
      </c>
      <c r="C16" s="19">
        <v>15000</v>
      </c>
      <c r="D16" s="19">
        <v>150000</v>
      </c>
      <c r="E16" s="19">
        <v>300000</v>
      </c>
      <c r="F16" s="19">
        <v>150000</v>
      </c>
      <c r="G16" s="20">
        <f>SUM(D16:F16)</f>
        <v>600000</v>
      </c>
    </row>
    <row r="17" spans="1:7" ht="15.6">
      <c r="A17" s="47" t="s">
        <v>41</v>
      </c>
      <c r="B17" s="10">
        <v>7</v>
      </c>
      <c r="C17" s="19">
        <v>100000</v>
      </c>
      <c r="D17" s="19">
        <v>200000</v>
      </c>
      <c r="E17" s="19">
        <v>300000</v>
      </c>
      <c r="F17" s="19">
        <v>200000</v>
      </c>
      <c r="G17" s="20">
        <f>SUM(D17:F17)</f>
        <v>700000</v>
      </c>
    </row>
    <row r="18" spans="1:7" ht="15.6">
      <c r="A18" s="22" t="s">
        <v>30</v>
      </c>
      <c r="B18" s="43"/>
      <c r="C18" s="38"/>
      <c r="D18" s="38"/>
      <c r="E18" s="38"/>
      <c r="F18" s="39"/>
      <c r="G18" s="9">
        <f>SUM(G19:G21)</f>
        <v>850000</v>
      </c>
    </row>
    <row r="19" spans="1:7" ht="15.6">
      <c r="A19" s="23" t="s">
        <v>31</v>
      </c>
      <c r="B19" s="11">
        <v>150</v>
      </c>
      <c r="C19" s="12">
        <v>2000</v>
      </c>
      <c r="D19" s="21"/>
      <c r="E19" s="13">
        <v>100000</v>
      </c>
      <c r="F19" s="13">
        <v>200000</v>
      </c>
      <c r="G19" s="13">
        <f>SUM(D19:F19)</f>
        <v>300000</v>
      </c>
    </row>
    <row r="20" spans="1:7" ht="15.6">
      <c r="A20" s="47" t="s">
        <v>39</v>
      </c>
      <c r="B20" s="11">
        <v>450000</v>
      </c>
      <c r="C20" s="12">
        <v>1</v>
      </c>
      <c r="D20" s="21"/>
      <c r="E20" s="13">
        <v>150000</v>
      </c>
      <c r="F20" s="13">
        <v>300000</v>
      </c>
      <c r="G20" s="13">
        <f>SUM(D20:F20)</f>
        <v>450000</v>
      </c>
    </row>
    <row r="21" spans="1:7" ht="15.6">
      <c r="A21" s="47" t="s">
        <v>42</v>
      </c>
      <c r="B21" s="11">
        <v>50</v>
      </c>
      <c r="C21" s="12">
        <v>2000</v>
      </c>
      <c r="D21" s="21">
        <v>20000</v>
      </c>
      <c r="E21" s="13">
        <v>40000</v>
      </c>
      <c r="F21" s="13">
        <v>40000</v>
      </c>
      <c r="G21" s="13">
        <f>SUM(D21:F21)</f>
        <v>100000</v>
      </c>
    </row>
    <row r="22" spans="1:7" ht="15.6">
      <c r="A22" s="22" t="s">
        <v>32</v>
      </c>
      <c r="B22" s="43"/>
      <c r="C22" s="38"/>
      <c r="D22" s="38"/>
      <c r="E22" s="38"/>
      <c r="F22" s="39"/>
      <c r="G22" s="9">
        <f>SUM(G18,G14,G10,G7,G2)</f>
        <v>7000000</v>
      </c>
    </row>
  </sheetData>
  <mergeCells count="1"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 </vt:lpstr>
      <vt:lpstr>Смета 207 ИО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Осипов</cp:lastModifiedBy>
  <dcterms:created xsi:type="dcterms:W3CDTF">2025-07-23T10:08:00Z</dcterms:created>
  <dcterms:modified xsi:type="dcterms:W3CDTF">2026-04-01T18:14:34Z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8FAC0C1A21B2490B8E8219A15B69F1A6_13</vt:lpwstr>
  </property>
  <property fmtid="{D5CDD505-2E9C-101B-9397-08002B2CF9AE}" pid="3" name="KSOProductBuildVer">
    <vt:lpwstr>1049-12.2.0.21931</vt:lpwstr>
  </property>
</Properties>
</file>