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ksim\Desktop\Новые Люди\"/>
    </mc:Choice>
  </mc:AlternateContent>
  <xr:revisionPtr revIDLastSave="0" documentId="13_ncr:1_{23C6B55D-ABEC-4BD4-920C-1E09AE48F9D9}" xr6:coauthVersionLast="47" xr6:coauthVersionMax="47" xr10:uidLastSave="{00000000-0000-0000-0000-000000000000}"/>
  <bookViews>
    <workbookView xWindow="1410" yWindow="2040" windowWidth="21600" windowHeight="11385" xr2:uid="{00000000-000D-0000-FFFF-FFFF00000000}"/>
  </bookViews>
  <sheets>
    <sheet name="Мещанский одноманда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8" i="1"/>
  <c r="D17" i="1"/>
  <c r="D16" i="1"/>
  <c r="Z9" i="1" l="1"/>
  <c r="Z10" i="1"/>
  <c r="Z11" i="1"/>
  <c r="Z12" i="1"/>
  <c r="Z13" i="1"/>
  <c r="Z8" i="1"/>
  <c r="Z5" i="1"/>
  <c r="Z7" i="1"/>
  <c r="Z4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Z6" i="1" l="1"/>
  <c r="B26" i="1"/>
  <c r="C26" i="1"/>
  <c r="C28" i="1"/>
  <c r="C27" i="1"/>
  <c r="B27" i="1"/>
  <c r="B23" i="1"/>
  <c r="B28" i="1"/>
  <c r="A23" i="1"/>
  <c r="E26" i="1" l="1"/>
  <c r="D28" i="1"/>
  <c r="D26" i="1"/>
  <c r="E27" i="1"/>
  <c r="D27" i="1"/>
  <c r="E28" i="1"/>
  <c r="D23" i="1"/>
  <c r="C23" i="1"/>
</calcChain>
</file>

<file path=xl/sharedStrings.xml><?xml version="1.0" encoding="utf-8"?>
<sst xmlns="http://schemas.openxmlformats.org/spreadsheetml/2006/main" count="67" uniqueCount="51">
  <si>
    <t>Итого</t>
  </si>
  <si>
    <t>Число избирателей, внесенных в список</t>
  </si>
  <si>
    <t xml:space="preserve">Число действительных бюллетеней </t>
  </si>
  <si>
    <t>Явка %</t>
  </si>
  <si>
    <t xml:space="preserve">ФИО </t>
  </si>
  <si>
    <t>Выдвинут</t>
  </si>
  <si>
    <t xml:space="preserve">Доля голосов </t>
  </si>
  <si>
    <t>Явка</t>
  </si>
  <si>
    <t>Дисперсия</t>
  </si>
  <si>
    <t>Среднее</t>
  </si>
  <si>
    <t>Минимум</t>
  </si>
  <si>
    <t>Максимум</t>
  </si>
  <si>
    <t>Выше максимума</t>
  </si>
  <si>
    <t>Ниже Минимума</t>
  </si>
  <si>
    <t>ФИО</t>
  </si>
  <si>
    <t>Справедливая Россия</t>
  </si>
  <si>
    <t>Новые люди</t>
  </si>
  <si>
    <t>КПРФ</t>
  </si>
  <si>
    <t>самовыдвиженец</t>
  </si>
  <si>
    <t>Единая Россия</t>
  </si>
  <si>
    <t>ЛДПР</t>
  </si>
  <si>
    <t>Хорошево-Мневники</t>
  </si>
  <si>
    <t>Хорошево-Мневники одномандат</t>
  </si>
  <si>
    <t>УИК №3065</t>
  </si>
  <si>
    <t>УИК №3069</t>
  </si>
  <si>
    <t>УИК №3071</t>
  </si>
  <si>
    <t>УИК №3073</t>
  </si>
  <si>
    <t>УИК №3074</t>
  </si>
  <si>
    <t>УИК №3076</t>
  </si>
  <si>
    <t>УИК №3077</t>
  </si>
  <si>
    <t>УИК №3079</t>
  </si>
  <si>
    <t>УИК №3080</t>
  </si>
  <si>
    <t>УИК №3084</t>
  </si>
  <si>
    <t>УИК №3085</t>
  </si>
  <si>
    <t>УИК №3087</t>
  </si>
  <si>
    <t>УИК №3090</t>
  </si>
  <si>
    <t>УИК №3091</t>
  </si>
  <si>
    <t>УИК №3094</t>
  </si>
  <si>
    <t>УИК №3096</t>
  </si>
  <si>
    <t>УИК №3099</t>
  </si>
  <si>
    <t>УИК №3101</t>
  </si>
  <si>
    <t>УИК №3103</t>
  </si>
  <si>
    <t>УИК №3106</t>
  </si>
  <si>
    <t>УИК №3109</t>
  </si>
  <si>
    <t>УИК №3777</t>
  </si>
  <si>
    <t>Акулова Светлана Владимировна</t>
  </si>
  <si>
    <t>Загребной Юрий Леонтьевич</t>
  </si>
  <si>
    <t>Захаров Дмитрий Александрович</t>
  </si>
  <si>
    <t>Ищенко Александр Алексеевич</t>
  </si>
  <si>
    <t>Севастьянова Анна Алексеевна</t>
  </si>
  <si>
    <t>Чвыров Сергей 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</si>
</sst>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\ ##0.00_-;\-* #\ ##0.00_-;_-* &quot;-&quot;??_-;_-@_-"/>
    <numFmt numFmtId="165" formatCode="_-* #\ ##0_-;\-* #\ ##0_-;_-* &quot;-&quot;??_-;_-@_-"/>
  </numFmts>
  <fonts count="10">
    <font>
      <sz val="11"/>
      <color theme="1"/>
      <name val="Calibri"/>
      <charset val="134"/>
      <scheme val="minor"/>
    </font>
    <font>
      <sz val="11"/>
      <name val="Calibri (Основной текст)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6" fillId="0" borderId="0"/>
    <xf numFmtId="0" fontId="5" fillId="0" borderId="0"/>
    <xf numFmtId="164" fontId="5" fillId="0" borderId="0"/>
  </cellStyleXfs>
  <cellXfs count="43">
    <xf numFmtId="0" fontId="0" fillId="0" borderId="0" xfId="0"/>
    <xf numFmtId="0" fontId="1" fillId="0" borderId="0" xfId="0" applyFont="1"/>
    <xf numFmtId="0" fontId="2" fillId="0" borderId="1" xfId="2" applyFont="1" applyBorder="1" applyAlignment="1">
      <alignment horizontal="center" vertical="center" wrapText="1"/>
    </xf>
    <xf numFmtId="165" fontId="2" fillId="0" borderId="1" xfId="3" applyNumberFormat="1" applyFont="1" applyBorder="1" applyAlignment="1">
      <alignment horizontal="center" vertical="center" wrapText="1"/>
    </xf>
    <xf numFmtId="10" fontId="2" fillId="0" borderId="1" xfId="3" applyNumberFormat="1" applyFont="1" applyBorder="1" applyAlignment="1">
      <alignment horizontal="center" vertical="center" wrapText="1"/>
    </xf>
    <xf numFmtId="165" fontId="2" fillId="0" borderId="8" xfId="3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10" fontId="2" fillId="0" borderId="7" xfId="0" applyNumberFormat="1" applyFont="1" applyBorder="1" applyAlignment="1">
      <alignment horizontal="center" vertical="center" wrapText="1"/>
    </xf>
    <xf numFmtId="165" fontId="2" fillId="0" borderId="1" xfId="3" applyNumberFormat="1" applyFont="1" applyBorder="1" applyAlignment="1">
      <alignment horizontal="center" vertical="center" wrapText="1"/>
    </xf>
    <xf numFmtId="165" fontId="1" fillId="0" borderId="0" xfId="3" applyNumberFormat="1" applyFont="1"/>
    <xf numFmtId="10" fontId="2" fillId="4" borderId="1" xfId="0" applyNumberFormat="1" applyFont="1" applyFill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8" fillId="5" borderId="1" xfId="0" applyFont="1" applyFill="1" applyBorder="1" applyAlignment="1">
      <alignment wrapText="1"/>
    </xf>
    <xf numFmtId="0" fontId="9" fillId="0" borderId="1" xfId="0" applyFont="1" applyBorder="1"/>
    <xf numFmtId="0" fontId="7" fillId="0" borderId="1" xfId="3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2" fillId="0" borderId="1" xfId="3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1" xfId="0" applyFont="1" applyBorder="1" applyAlignment="1"/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4">
    <cellStyle name="Обычный" xfId="0" builtinId="0"/>
    <cellStyle name="Обычный 2" xfId="2" xr:uid="{00000000-0005-0000-0000-000031000000}"/>
    <cellStyle name="Финансовый" xfId="1" builtinId="3"/>
    <cellStyle name="Финансовый 2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6"/>
  <sheetViews>
    <sheetView tabSelected="1" workbookViewId="0">
      <selection activeCell="I30" sqref="I30"/>
    </sheetView>
  </sheetViews>
  <sheetFormatPr defaultColWidth="8.85546875" defaultRowHeight="13.5"/>
  <cols>
    <col min="1" max="1" width="15.7109375" style="1" customWidth="1"/>
    <col min="2" max="2" width="50.7109375" style="1" customWidth="1"/>
    <col min="3" max="3" width="25.7109375" style="1" customWidth="1"/>
    <col min="4" max="11" width="20.7109375" style="1" customWidth="1"/>
    <col min="12" max="12" width="22.85546875" style="1" customWidth="1"/>
    <col min="13" max="20" width="20.7109375" style="1" customWidth="1"/>
    <col min="21" max="21" width="17.7109375" style="1" customWidth="1"/>
    <col min="22" max="22" width="16.42578125" style="1" customWidth="1"/>
    <col min="23" max="23" width="17.7109375" style="1" customWidth="1"/>
    <col min="24" max="24" width="16.7109375" style="1" customWidth="1"/>
    <col min="25" max="25" width="16.140625" style="1" customWidth="1"/>
    <col min="26" max="26" width="17.7109375" style="1" customWidth="1"/>
    <col min="27" max="27" width="18.42578125" style="1" customWidth="1"/>
    <col min="28" max="28" width="13.42578125" style="1" customWidth="1"/>
    <col min="29" max="29" width="13.28515625" style="1" customWidth="1"/>
    <col min="30" max="30" width="13.42578125" style="1" customWidth="1"/>
    <col min="31" max="31" width="13.140625" style="1" customWidth="1"/>
    <col min="32" max="32" width="12.7109375" style="1" customWidth="1"/>
    <col min="33" max="33" width="14.140625" style="1" customWidth="1"/>
    <col min="34" max="34" width="13.140625" style="1" customWidth="1"/>
    <col min="35" max="35" width="12.140625" style="1" customWidth="1"/>
    <col min="36" max="36" width="13.42578125" style="1" customWidth="1"/>
    <col min="37" max="37" width="13.85546875" style="1" customWidth="1"/>
    <col min="38" max="38" width="12.85546875" style="1" customWidth="1"/>
    <col min="39" max="39" width="13.42578125" style="1" customWidth="1"/>
    <col min="40" max="41" width="13.28515625" style="1" customWidth="1"/>
    <col min="42" max="42" width="13.85546875" style="1" customWidth="1"/>
    <col min="43" max="43" width="13.42578125" style="1" customWidth="1"/>
    <col min="44" max="44" width="12.85546875" style="1" customWidth="1"/>
    <col min="45" max="45" width="13.28515625" style="1" customWidth="1"/>
    <col min="46" max="46" width="12.7109375" style="1" customWidth="1"/>
    <col min="47" max="47" width="13.28515625" style="1" customWidth="1"/>
    <col min="48" max="48" width="12.42578125" style="1" customWidth="1"/>
    <col min="49" max="49" width="13.140625" style="1" customWidth="1"/>
    <col min="50" max="50" width="12.85546875" style="1" customWidth="1"/>
    <col min="51" max="51" width="14.140625" style="1" customWidth="1"/>
    <col min="52" max="52" width="12.85546875" style="1" customWidth="1"/>
    <col min="53" max="58" width="12.42578125" style="1" customWidth="1"/>
    <col min="59" max="87" width="11" style="1" customWidth="1"/>
    <col min="88" max="88" width="11.42578125" style="1" customWidth="1"/>
    <col min="89" max="96" width="11" style="1" customWidth="1"/>
    <col min="97" max="97" width="8.85546875" style="1" customWidth="1"/>
    <col min="98" max="16384" width="8.85546875" style="1"/>
  </cols>
  <sheetData>
    <row r="1" spans="1:50" ht="15" customHeight="1">
      <c r="A1" s="25"/>
      <c r="B1" s="31" t="s">
        <v>21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50" ht="15" customHeight="1">
      <c r="A2" s="29"/>
      <c r="B2" s="31" t="s">
        <v>22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3"/>
    </row>
    <row r="3" spans="1:50" ht="15" customHeight="1">
      <c r="A3" s="29"/>
      <c r="B3" s="34"/>
      <c r="C3" s="35"/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14" t="s">
        <v>33</v>
      </c>
      <c r="O3" s="14" t="s">
        <v>34</v>
      </c>
      <c r="P3" s="14" t="s">
        <v>35</v>
      </c>
      <c r="Q3" s="14" t="s">
        <v>36</v>
      </c>
      <c r="R3" s="14" t="s">
        <v>37</v>
      </c>
      <c r="S3" s="14" t="s">
        <v>38</v>
      </c>
      <c r="T3" s="14" t="s">
        <v>39</v>
      </c>
      <c r="U3" s="14" t="s">
        <v>40</v>
      </c>
      <c r="V3" s="14" t="s">
        <v>41</v>
      </c>
      <c r="W3" s="14" t="s">
        <v>42</v>
      </c>
      <c r="X3" s="14" t="s">
        <v>43</v>
      </c>
      <c r="Y3" s="14" t="s">
        <v>44</v>
      </c>
      <c r="Z3" s="3" t="s">
        <v>0</v>
      </c>
    </row>
    <row r="4" spans="1:50" ht="15" customHeight="1">
      <c r="A4" s="29"/>
      <c r="B4" s="25" t="s">
        <v>1</v>
      </c>
      <c r="C4" s="26"/>
      <c r="D4" s="22">
        <v>2763</v>
      </c>
      <c r="E4" s="22">
        <v>5442</v>
      </c>
      <c r="F4" s="22">
        <v>5729</v>
      </c>
      <c r="G4" s="22">
        <v>2883</v>
      </c>
      <c r="H4" s="23">
        <v>3444</v>
      </c>
      <c r="I4" s="23">
        <v>2746</v>
      </c>
      <c r="J4" s="23">
        <v>2972</v>
      </c>
      <c r="K4" s="23">
        <v>2444</v>
      </c>
      <c r="L4" s="23">
        <v>4689</v>
      </c>
      <c r="M4" s="23">
        <v>2345</v>
      </c>
      <c r="N4" s="23">
        <v>2680</v>
      </c>
      <c r="O4" s="23">
        <v>4497</v>
      </c>
      <c r="P4" s="23">
        <v>2338</v>
      </c>
      <c r="Q4" s="23">
        <v>4369</v>
      </c>
      <c r="R4" s="23">
        <v>4179</v>
      </c>
      <c r="S4" s="23">
        <v>4288</v>
      </c>
      <c r="T4" s="23">
        <v>2114</v>
      </c>
      <c r="U4" s="23">
        <v>4366</v>
      </c>
      <c r="V4" s="23">
        <v>2224</v>
      </c>
      <c r="W4" s="23">
        <v>4036</v>
      </c>
      <c r="X4" s="23">
        <v>2077</v>
      </c>
      <c r="Y4" s="23">
        <v>9</v>
      </c>
      <c r="Z4" s="22">
        <f>SUM(D4:Y4)</f>
        <v>72634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</row>
    <row r="5" spans="1:50" ht="15" customHeight="1">
      <c r="A5" s="29"/>
      <c r="B5" s="25" t="s">
        <v>2</v>
      </c>
      <c r="C5" s="26"/>
      <c r="D5" s="22">
        <v>48</v>
      </c>
      <c r="E5" s="22">
        <v>198</v>
      </c>
      <c r="F5" s="22">
        <v>216</v>
      </c>
      <c r="G5" s="22">
        <v>80</v>
      </c>
      <c r="H5" s="24">
        <v>152</v>
      </c>
      <c r="I5" s="24">
        <v>49</v>
      </c>
      <c r="J5" s="24">
        <v>10</v>
      </c>
      <c r="K5" s="24">
        <v>48</v>
      </c>
      <c r="L5" s="24">
        <v>207</v>
      </c>
      <c r="M5" s="24">
        <v>183</v>
      </c>
      <c r="N5" s="24">
        <v>150</v>
      </c>
      <c r="O5" s="24">
        <v>20</v>
      </c>
      <c r="P5" s="24">
        <v>62</v>
      </c>
      <c r="Q5" s="24">
        <v>164</v>
      </c>
      <c r="R5" s="24">
        <v>147</v>
      </c>
      <c r="S5" s="24">
        <v>158</v>
      </c>
      <c r="T5" s="24">
        <v>37</v>
      </c>
      <c r="U5" s="24">
        <v>209</v>
      </c>
      <c r="V5" s="24">
        <v>45</v>
      </c>
      <c r="W5" s="24">
        <v>44</v>
      </c>
      <c r="X5" s="24">
        <v>75</v>
      </c>
      <c r="Y5" s="24">
        <v>9</v>
      </c>
      <c r="Z5" s="22">
        <f>SUM(D5:Y5)</f>
        <v>2311</v>
      </c>
    </row>
    <row r="6" spans="1:50" ht="15" customHeight="1">
      <c r="A6" s="29"/>
      <c r="B6" s="25" t="s">
        <v>3</v>
      </c>
      <c r="C6" s="26"/>
      <c r="D6" s="4">
        <f t="shared" ref="D6:M6" si="0">D5/D4</f>
        <v>1.737242128121607E-2</v>
      </c>
      <c r="E6" s="4">
        <f t="shared" si="0"/>
        <v>3.6383682469680267E-2</v>
      </c>
      <c r="F6" s="4">
        <f t="shared" si="0"/>
        <v>3.7702914993890731E-2</v>
      </c>
      <c r="G6" s="4">
        <f t="shared" si="0"/>
        <v>2.7748872702046481E-2</v>
      </c>
      <c r="H6" s="4">
        <f t="shared" si="0"/>
        <v>4.4134727061556328E-2</v>
      </c>
      <c r="I6" s="4">
        <f t="shared" si="0"/>
        <v>1.7844136926438457E-2</v>
      </c>
      <c r="J6" s="4">
        <f t="shared" si="0"/>
        <v>3.3647375504710633E-3</v>
      </c>
      <c r="K6" s="4">
        <f t="shared" si="0"/>
        <v>1.9639934533551555E-2</v>
      </c>
      <c r="L6" s="4">
        <f t="shared" si="0"/>
        <v>4.4145873320537425E-2</v>
      </c>
      <c r="M6" s="4">
        <f t="shared" si="0"/>
        <v>7.8038379530916843E-2</v>
      </c>
      <c r="N6" s="4">
        <f t="shared" ref="N6:Y6" si="1">N5/N4</f>
        <v>5.5970149253731345E-2</v>
      </c>
      <c r="O6" s="4">
        <f t="shared" si="1"/>
        <v>4.4474093840338007E-3</v>
      </c>
      <c r="P6" s="4">
        <f t="shared" si="1"/>
        <v>2.6518391787852865E-2</v>
      </c>
      <c r="Q6" s="4">
        <f t="shared" si="1"/>
        <v>3.7537193865873196E-2</v>
      </c>
      <c r="R6" s="4">
        <f t="shared" si="1"/>
        <v>3.5175879396984924E-2</v>
      </c>
      <c r="S6" s="4">
        <f t="shared" si="1"/>
        <v>3.6847014925373137E-2</v>
      </c>
      <c r="T6" s="4">
        <f t="shared" si="1"/>
        <v>1.7502365184484388E-2</v>
      </c>
      <c r="U6" s="4">
        <f t="shared" si="1"/>
        <v>4.7869903802107192E-2</v>
      </c>
      <c r="V6" s="4">
        <f t="shared" si="1"/>
        <v>2.0233812949640287E-2</v>
      </c>
      <c r="W6" s="4">
        <f t="shared" si="1"/>
        <v>1.0901883052527254E-2</v>
      </c>
      <c r="X6" s="4">
        <f t="shared" si="1"/>
        <v>3.6109773712084736E-2</v>
      </c>
      <c r="Y6" s="4">
        <f t="shared" si="1"/>
        <v>1</v>
      </c>
      <c r="Z6" s="4">
        <f>Z5/Z4</f>
        <v>3.1817055373516534E-2</v>
      </c>
    </row>
    <row r="7" spans="1:50" ht="15" customHeight="1">
      <c r="A7" s="30"/>
      <c r="B7" s="2" t="s">
        <v>4</v>
      </c>
      <c r="C7" s="2" t="s">
        <v>5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14">
        <f>SUM(D7:M7)</f>
        <v>0</v>
      </c>
    </row>
    <row r="8" spans="1:50" ht="15" customHeight="1">
      <c r="A8" s="17">
        <v>1</v>
      </c>
      <c r="B8" s="18" t="s">
        <v>45</v>
      </c>
      <c r="C8" s="19" t="s">
        <v>19</v>
      </c>
      <c r="D8" s="20">
        <v>47</v>
      </c>
      <c r="E8" s="20">
        <v>165</v>
      </c>
      <c r="F8" s="20">
        <v>181</v>
      </c>
      <c r="G8" s="20">
        <v>67</v>
      </c>
      <c r="H8" s="20">
        <v>146</v>
      </c>
      <c r="I8" s="20">
        <v>33</v>
      </c>
      <c r="J8" s="20">
        <v>7</v>
      </c>
      <c r="K8" s="20">
        <v>44</v>
      </c>
      <c r="L8" s="21">
        <v>199</v>
      </c>
      <c r="M8" s="21">
        <v>151</v>
      </c>
      <c r="N8" s="21">
        <v>147</v>
      </c>
      <c r="O8" s="21">
        <v>8</v>
      </c>
      <c r="P8" s="21">
        <v>43</v>
      </c>
      <c r="Q8" s="21">
        <v>146</v>
      </c>
      <c r="R8" s="21">
        <v>118</v>
      </c>
      <c r="S8" s="21">
        <v>145</v>
      </c>
      <c r="T8" s="21">
        <v>27</v>
      </c>
      <c r="U8" s="21">
        <v>172</v>
      </c>
      <c r="V8" s="21">
        <v>27</v>
      </c>
      <c r="W8" s="21">
        <v>29</v>
      </c>
      <c r="X8" s="21">
        <v>73</v>
      </c>
      <c r="Y8" s="21">
        <v>8</v>
      </c>
      <c r="Z8" s="20">
        <f>SUM(D8:Y8)</f>
        <v>1983</v>
      </c>
    </row>
    <row r="9" spans="1:50" ht="15" customHeight="1">
      <c r="A9" s="17">
        <v>2</v>
      </c>
      <c r="B9" s="18" t="s">
        <v>46</v>
      </c>
      <c r="C9" s="19" t="s">
        <v>15</v>
      </c>
      <c r="D9" s="20">
        <v>0</v>
      </c>
      <c r="E9" s="20">
        <v>2</v>
      </c>
      <c r="F9" s="20">
        <v>1</v>
      </c>
      <c r="G9" s="20">
        <v>2</v>
      </c>
      <c r="H9" s="20">
        <v>0</v>
      </c>
      <c r="I9" s="20">
        <v>2</v>
      </c>
      <c r="J9" s="20">
        <v>0</v>
      </c>
      <c r="K9" s="20">
        <v>0</v>
      </c>
      <c r="L9" s="21">
        <v>0</v>
      </c>
      <c r="M9" s="21">
        <v>11</v>
      </c>
      <c r="N9" s="21">
        <v>0</v>
      </c>
      <c r="O9" s="21">
        <v>1</v>
      </c>
      <c r="P9" s="21">
        <v>0</v>
      </c>
      <c r="Q9" s="21">
        <v>5</v>
      </c>
      <c r="R9" s="21">
        <v>4</v>
      </c>
      <c r="S9" s="21">
        <v>2</v>
      </c>
      <c r="T9" s="21">
        <v>1</v>
      </c>
      <c r="U9" s="21">
        <v>10</v>
      </c>
      <c r="V9" s="21">
        <v>4</v>
      </c>
      <c r="W9" s="21">
        <v>1</v>
      </c>
      <c r="X9" s="21">
        <v>0</v>
      </c>
      <c r="Y9" s="21">
        <v>0</v>
      </c>
      <c r="Z9" s="20">
        <f t="shared" ref="Z9:Z13" si="2">SUM(D9:Y9)</f>
        <v>46</v>
      </c>
    </row>
    <row r="10" spans="1:50" ht="15" customHeight="1">
      <c r="A10" s="17">
        <v>3</v>
      </c>
      <c r="B10" s="18" t="s">
        <v>47</v>
      </c>
      <c r="C10" s="19" t="s">
        <v>18</v>
      </c>
      <c r="D10" s="20">
        <v>0</v>
      </c>
      <c r="E10" s="20">
        <v>9</v>
      </c>
      <c r="F10" s="20">
        <v>2</v>
      </c>
      <c r="G10" s="20">
        <v>3</v>
      </c>
      <c r="H10" s="20">
        <v>2</v>
      </c>
      <c r="I10" s="20">
        <v>2</v>
      </c>
      <c r="J10" s="20">
        <v>0</v>
      </c>
      <c r="K10" s="20">
        <v>0</v>
      </c>
      <c r="L10" s="21">
        <v>1</v>
      </c>
      <c r="M10" s="21">
        <v>2</v>
      </c>
      <c r="N10" s="21">
        <v>0</v>
      </c>
      <c r="O10" s="21">
        <v>1</v>
      </c>
      <c r="P10" s="21">
        <v>0</v>
      </c>
      <c r="Q10" s="21">
        <v>0</v>
      </c>
      <c r="R10" s="21">
        <v>3</v>
      </c>
      <c r="S10" s="21">
        <v>2</v>
      </c>
      <c r="T10" s="21">
        <v>0</v>
      </c>
      <c r="U10" s="21">
        <v>4</v>
      </c>
      <c r="V10" s="21">
        <v>1</v>
      </c>
      <c r="W10" s="21">
        <v>1</v>
      </c>
      <c r="X10" s="21">
        <v>0</v>
      </c>
      <c r="Y10" s="21">
        <v>0</v>
      </c>
      <c r="Z10" s="20">
        <f t="shared" si="2"/>
        <v>33</v>
      </c>
    </row>
    <row r="11" spans="1:50" ht="15" customHeight="1">
      <c r="A11" s="17">
        <v>4</v>
      </c>
      <c r="B11" s="18" t="s">
        <v>48</v>
      </c>
      <c r="C11" s="19" t="s">
        <v>17</v>
      </c>
      <c r="D11" s="20">
        <v>0</v>
      </c>
      <c r="E11" s="20">
        <v>19</v>
      </c>
      <c r="F11" s="21">
        <v>30</v>
      </c>
      <c r="G11" s="20">
        <v>2</v>
      </c>
      <c r="H11" s="20">
        <v>2</v>
      </c>
      <c r="I11" s="20">
        <v>7</v>
      </c>
      <c r="J11" s="20">
        <v>3</v>
      </c>
      <c r="K11" s="20">
        <v>4</v>
      </c>
      <c r="L11" s="21">
        <v>4</v>
      </c>
      <c r="M11" s="21">
        <v>14</v>
      </c>
      <c r="N11" s="21">
        <v>0</v>
      </c>
      <c r="O11" s="21">
        <v>8</v>
      </c>
      <c r="P11" s="21">
        <v>16</v>
      </c>
      <c r="Q11" s="21">
        <v>11</v>
      </c>
      <c r="R11" s="21">
        <v>16</v>
      </c>
      <c r="S11" s="21">
        <v>5</v>
      </c>
      <c r="T11" s="21">
        <v>7</v>
      </c>
      <c r="U11" s="21">
        <v>16</v>
      </c>
      <c r="V11" s="21">
        <v>12</v>
      </c>
      <c r="W11" s="21">
        <v>12</v>
      </c>
      <c r="X11" s="21">
        <v>1</v>
      </c>
      <c r="Y11" s="21">
        <v>0</v>
      </c>
      <c r="Z11" s="20">
        <f t="shared" si="2"/>
        <v>189</v>
      </c>
    </row>
    <row r="12" spans="1:50" ht="15" customHeight="1">
      <c r="A12" s="17">
        <v>5</v>
      </c>
      <c r="B12" s="36" t="s">
        <v>49</v>
      </c>
      <c r="C12" s="19" t="s">
        <v>20</v>
      </c>
      <c r="D12" s="20">
        <v>0</v>
      </c>
      <c r="E12" s="20">
        <v>2</v>
      </c>
      <c r="F12" s="21">
        <v>0</v>
      </c>
      <c r="G12" s="20">
        <v>4</v>
      </c>
      <c r="H12" s="20">
        <v>0</v>
      </c>
      <c r="I12" s="20">
        <v>4</v>
      </c>
      <c r="J12" s="20">
        <v>0</v>
      </c>
      <c r="K12" s="20">
        <v>0</v>
      </c>
      <c r="L12" s="21">
        <v>0</v>
      </c>
      <c r="M12" s="21">
        <v>0</v>
      </c>
      <c r="N12" s="21">
        <v>0</v>
      </c>
      <c r="O12" s="21">
        <v>1</v>
      </c>
      <c r="P12" s="21">
        <v>3</v>
      </c>
      <c r="Q12" s="21">
        <v>1</v>
      </c>
      <c r="R12" s="21">
        <v>1</v>
      </c>
      <c r="S12" s="21">
        <v>2</v>
      </c>
      <c r="T12" s="21">
        <v>0</v>
      </c>
      <c r="U12" s="21">
        <v>1</v>
      </c>
      <c r="V12" s="21">
        <v>0</v>
      </c>
      <c r="W12" s="21">
        <v>1</v>
      </c>
      <c r="X12" s="21">
        <v>0</v>
      </c>
      <c r="Y12" s="21">
        <v>1</v>
      </c>
      <c r="Z12" s="20">
        <f t="shared" si="2"/>
        <v>21</v>
      </c>
    </row>
    <row r="13" spans="1:50" ht="15" customHeight="1">
      <c r="A13" s="17">
        <v>6</v>
      </c>
      <c r="B13" s="18" t="s">
        <v>50</v>
      </c>
      <c r="C13" s="19" t="s">
        <v>16</v>
      </c>
      <c r="D13" s="20">
        <v>1</v>
      </c>
      <c r="E13" s="20">
        <v>1</v>
      </c>
      <c r="F13" s="21">
        <v>2</v>
      </c>
      <c r="G13" s="20">
        <v>2</v>
      </c>
      <c r="H13" s="20">
        <v>2</v>
      </c>
      <c r="I13" s="20">
        <v>1</v>
      </c>
      <c r="J13" s="20">
        <v>0</v>
      </c>
      <c r="K13" s="20">
        <v>0</v>
      </c>
      <c r="L13" s="21">
        <v>3</v>
      </c>
      <c r="M13" s="21">
        <v>5</v>
      </c>
      <c r="N13" s="21">
        <v>3</v>
      </c>
      <c r="O13" s="21">
        <v>1</v>
      </c>
      <c r="P13" s="21">
        <v>0</v>
      </c>
      <c r="Q13" s="21">
        <v>1</v>
      </c>
      <c r="R13" s="21">
        <v>5</v>
      </c>
      <c r="S13" s="21">
        <v>2</v>
      </c>
      <c r="T13" s="21">
        <v>2</v>
      </c>
      <c r="U13" s="21">
        <v>6</v>
      </c>
      <c r="V13" s="21">
        <v>1</v>
      </c>
      <c r="W13" s="21">
        <v>0</v>
      </c>
      <c r="X13" s="21">
        <v>1</v>
      </c>
      <c r="Y13" s="21">
        <v>0</v>
      </c>
      <c r="Z13" s="20">
        <f t="shared" si="2"/>
        <v>39</v>
      </c>
    </row>
    <row r="14" spans="1:50" ht="15" customHeight="1">
      <c r="A14" s="37" t="s">
        <v>6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41"/>
    </row>
    <row r="15" spans="1:50" ht="15" customHeight="1">
      <c r="A15" s="7"/>
      <c r="B15" s="7" t="s">
        <v>4</v>
      </c>
      <c r="C15" s="7" t="s">
        <v>5</v>
      </c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2"/>
    </row>
    <row r="16" spans="1:50" ht="15" customHeight="1">
      <c r="A16" s="7">
        <v>1</v>
      </c>
      <c r="B16" s="18" t="s">
        <v>45</v>
      </c>
      <c r="C16" s="19" t="s">
        <v>19</v>
      </c>
      <c r="D16" s="16">
        <f>D8/D5</f>
        <v>0.97916666666666663</v>
      </c>
      <c r="E16" s="16">
        <f t="shared" ref="E16:Z16" si="3">E8/E5</f>
        <v>0.83333333333333337</v>
      </c>
      <c r="F16" s="16">
        <f t="shared" si="3"/>
        <v>0.83796296296296291</v>
      </c>
      <c r="G16" s="16">
        <f t="shared" si="3"/>
        <v>0.83750000000000002</v>
      </c>
      <c r="H16" s="16">
        <f t="shared" si="3"/>
        <v>0.96052631578947367</v>
      </c>
      <c r="I16" s="16">
        <f t="shared" si="3"/>
        <v>0.67346938775510201</v>
      </c>
      <c r="J16" s="16">
        <f t="shared" si="3"/>
        <v>0.7</v>
      </c>
      <c r="K16" s="16">
        <f t="shared" si="3"/>
        <v>0.91666666666666663</v>
      </c>
      <c r="L16" s="16">
        <f t="shared" si="3"/>
        <v>0.96135265700483097</v>
      </c>
      <c r="M16" s="16">
        <f t="shared" si="3"/>
        <v>0.82513661202185795</v>
      </c>
      <c r="N16" s="16">
        <f t="shared" si="3"/>
        <v>0.98</v>
      </c>
      <c r="O16" s="16">
        <f t="shared" si="3"/>
        <v>0.4</v>
      </c>
      <c r="P16" s="16">
        <f t="shared" si="3"/>
        <v>0.69354838709677424</v>
      </c>
      <c r="Q16" s="16">
        <f t="shared" si="3"/>
        <v>0.8902439024390244</v>
      </c>
      <c r="R16" s="16">
        <f t="shared" si="3"/>
        <v>0.80272108843537415</v>
      </c>
      <c r="S16" s="16">
        <f t="shared" si="3"/>
        <v>0.91772151898734178</v>
      </c>
      <c r="T16" s="16">
        <f t="shared" si="3"/>
        <v>0.72972972972972971</v>
      </c>
      <c r="U16" s="16">
        <f t="shared" si="3"/>
        <v>0.82296650717703346</v>
      </c>
      <c r="V16" s="16">
        <f t="shared" si="3"/>
        <v>0.6</v>
      </c>
      <c r="W16" s="16">
        <f t="shared" si="3"/>
        <v>0.65909090909090906</v>
      </c>
      <c r="X16" s="16">
        <f t="shared" si="3"/>
        <v>0.97333333333333338</v>
      </c>
      <c r="Y16" s="16">
        <f t="shared" si="3"/>
        <v>0.88888888888888884</v>
      </c>
      <c r="Z16" s="16">
        <f t="shared" si="3"/>
        <v>0.85807009952401558</v>
      </c>
    </row>
    <row r="17" spans="1:26" ht="15" customHeight="1">
      <c r="A17" s="7">
        <v>2</v>
      </c>
      <c r="B17" s="18" t="s">
        <v>48</v>
      </c>
      <c r="C17" s="19" t="s">
        <v>17</v>
      </c>
      <c r="D17" s="8">
        <f>D11/D5</f>
        <v>0</v>
      </c>
      <c r="E17" s="8">
        <f t="shared" ref="E17:Z17" si="4">E11/E5</f>
        <v>9.5959595959595953E-2</v>
      </c>
      <c r="F17" s="8">
        <f t="shared" si="4"/>
        <v>0.1388888888888889</v>
      </c>
      <c r="G17" s="8">
        <f t="shared" si="4"/>
        <v>2.5000000000000001E-2</v>
      </c>
      <c r="H17" s="8">
        <f t="shared" si="4"/>
        <v>1.3157894736842105E-2</v>
      </c>
      <c r="I17" s="8">
        <f t="shared" si="4"/>
        <v>0.14285714285714285</v>
      </c>
      <c r="J17" s="8">
        <f t="shared" si="4"/>
        <v>0.3</v>
      </c>
      <c r="K17" s="8">
        <f t="shared" si="4"/>
        <v>8.3333333333333329E-2</v>
      </c>
      <c r="L17" s="8">
        <f t="shared" si="4"/>
        <v>1.932367149758454E-2</v>
      </c>
      <c r="M17" s="8">
        <f t="shared" si="4"/>
        <v>7.650273224043716E-2</v>
      </c>
      <c r="N17" s="8">
        <f t="shared" si="4"/>
        <v>0</v>
      </c>
      <c r="O17" s="8">
        <f t="shared" si="4"/>
        <v>0.4</v>
      </c>
      <c r="P17" s="8">
        <f t="shared" si="4"/>
        <v>0.25806451612903225</v>
      </c>
      <c r="Q17" s="8">
        <f t="shared" si="4"/>
        <v>6.7073170731707321E-2</v>
      </c>
      <c r="R17" s="8">
        <f t="shared" si="4"/>
        <v>0.10884353741496598</v>
      </c>
      <c r="S17" s="8">
        <f t="shared" si="4"/>
        <v>3.1645569620253167E-2</v>
      </c>
      <c r="T17" s="8">
        <f t="shared" si="4"/>
        <v>0.1891891891891892</v>
      </c>
      <c r="U17" s="8">
        <f t="shared" si="4"/>
        <v>7.6555023923444973E-2</v>
      </c>
      <c r="V17" s="8">
        <f t="shared" si="4"/>
        <v>0.26666666666666666</v>
      </c>
      <c r="W17" s="8">
        <f t="shared" si="4"/>
        <v>0.27272727272727271</v>
      </c>
      <c r="X17" s="8">
        <f t="shared" si="4"/>
        <v>1.3333333333333334E-2</v>
      </c>
      <c r="Y17" s="8">
        <f t="shared" si="4"/>
        <v>0</v>
      </c>
      <c r="Z17" s="8">
        <f t="shared" si="4"/>
        <v>8.1782778018173949E-2</v>
      </c>
    </row>
    <row r="18" spans="1:26" ht="15" customHeight="1">
      <c r="A18" s="7">
        <v>3</v>
      </c>
      <c r="B18" s="18" t="s">
        <v>50</v>
      </c>
      <c r="C18" s="19" t="s">
        <v>16</v>
      </c>
      <c r="D18" s="8">
        <f>D13/D5</f>
        <v>2.0833333333333332E-2</v>
      </c>
      <c r="E18" s="8">
        <f t="shared" ref="E18:Z18" si="5">E13/E5</f>
        <v>5.0505050505050509E-3</v>
      </c>
      <c r="F18" s="8">
        <f t="shared" si="5"/>
        <v>9.2592592592592587E-3</v>
      </c>
      <c r="G18" s="8">
        <f t="shared" si="5"/>
        <v>2.5000000000000001E-2</v>
      </c>
      <c r="H18" s="8">
        <f t="shared" si="5"/>
        <v>1.3157894736842105E-2</v>
      </c>
      <c r="I18" s="8">
        <f t="shared" si="5"/>
        <v>2.0408163265306121E-2</v>
      </c>
      <c r="J18" s="8">
        <f t="shared" si="5"/>
        <v>0</v>
      </c>
      <c r="K18" s="8">
        <f t="shared" si="5"/>
        <v>0</v>
      </c>
      <c r="L18" s="8">
        <f t="shared" si="5"/>
        <v>1.4492753623188406E-2</v>
      </c>
      <c r="M18" s="8">
        <f t="shared" si="5"/>
        <v>2.7322404371584699E-2</v>
      </c>
      <c r="N18" s="8">
        <f t="shared" si="5"/>
        <v>0.02</v>
      </c>
      <c r="O18" s="8">
        <f t="shared" si="5"/>
        <v>0.05</v>
      </c>
      <c r="P18" s="8">
        <f t="shared" si="5"/>
        <v>0</v>
      </c>
      <c r="Q18" s="8">
        <f t="shared" si="5"/>
        <v>6.0975609756097563E-3</v>
      </c>
      <c r="R18" s="8">
        <f t="shared" si="5"/>
        <v>3.4013605442176874E-2</v>
      </c>
      <c r="S18" s="8">
        <f t="shared" si="5"/>
        <v>1.2658227848101266E-2</v>
      </c>
      <c r="T18" s="8">
        <f t="shared" si="5"/>
        <v>5.4054054054054057E-2</v>
      </c>
      <c r="U18" s="8">
        <f t="shared" si="5"/>
        <v>2.8708133971291867E-2</v>
      </c>
      <c r="V18" s="8">
        <f t="shared" si="5"/>
        <v>2.2222222222222223E-2</v>
      </c>
      <c r="W18" s="8">
        <f t="shared" si="5"/>
        <v>0</v>
      </c>
      <c r="X18" s="8">
        <f t="shared" si="5"/>
        <v>1.3333333333333334E-2</v>
      </c>
      <c r="Y18" s="8">
        <f t="shared" si="5"/>
        <v>0</v>
      </c>
      <c r="Z18" s="8">
        <f t="shared" si="5"/>
        <v>1.6875811337083515E-2</v>
      </c>
    </row>
    <row r="19" spans="1:26" ht="15" customHeight="1"/>
    <row r="20" spans="1:26" ht="15" customHeight="1"/>
    <row r="21" spans="1:26" ht="15" customHeight="1">
      <c r="A21" s="27" t="s">
        <v>7</v>
      </c>
      <c r="B21" s="28"/>
      <c r="C21" s="28"/>
      <c r="D21" s="26"/>
      <c r="E21" s="6"/>
      <c r="G21" s="10"/>
      <c r="H21" s="11"/>
    </row>
    <row r="22" spans="1:26" ht="15" customHeight="1">
      <c r="A22" s="9" t="s">
        <v>8</v>
      </c>
      <c r="B22" s="9" t="s">
        <v>9</v>
      </c>
      <c r="C22" s="9" t="s">
        <v>10</v>
      </c>
      <c r="D22" s="9" t="s">
        <v>11</v>
      </c>
      <c r="E22" s="6"/>
      <c r="G22" s="12" t="s">
        <v>12</v>
      </c>
      <c r="H22" s="12" t="s">
        <v>13</v>
      </c>
    </row>
    <row r="23" spans="1:26" ht="15" customHeight="1">
      <c r="A23" s="13">
        <f>_xlfn.STDEV.P(D6:M6)</f>
        <v>1.9665089083289688E-2</v>
      </c>
      <c r="B23" s="13">
        <f>AVERAGE(D6:M6)</f>
        <v>3.2637568037030523E-2</v>
      </c>
      <c r="C23" s="13">
        <f>B23-A23</f>
        <v>1.2972478953740835E-2</v>
      </c>
      <c r="D23" s="13">
        <f>B23+A23</f>
        <v>5.2302657120320215E-2</v>
      </c>
      <c r="E23" s="6"/>
    </row>
    <row r="24" spans="1:26" ht="15" customHeight="1">
      <c r="A24" s="27" t="s">
        <v>6</v>
      </c>
      <c r="B24" s="28"/>
      <c r="C24" s="28"/>
      <c r="D24" s="28"/>
      <c r="E24" s="26"/>
    </row>
    <row r="25" spans="1:26" ht="15" customHeight="1">
      <c r="A25" s="9" t="s">
        <v>14</v>
      </c>
      <c r="B25" s="9" t="s">
        <v>8</v>
      </c>
      <c r="C25" s="9" t="s">
        <v>9</v>
      </c>
      <c r="D25" s="9" t="s">
        <v>10</v>
      </c>
      <c r="E25" s="9" t="s">
        <v>11</v>
      </c>
    </row>
    <row r="26" spans="1:26" ht="15" customHeight="1">
      <c r="A26" s="18" t="s">
        <v>45</v>
      </c>
      <c r="B26" s="8">
        <f>_xlfn.STDEV.P(D16:M16)</f>
        <v>0.10027015595958776</v>
      </c>
      <c r="C26" s="8">
        <f>AVERAGE(D16:M16)</f>
        <v>0.85251146022008939</v>
      </c>
      <c r="D26" s="8">
        <f>C26-B26</f>
        <v>0.75224130426050162</v>
      </c>
      <c r="E26" s="8">
        <f>C26+B26</f>
        <v>0.95278161617967716</v>
      </c>
    </row>
    <row r="27" spans="1:26" ht="15" customHeight="1">
      <c r="A27" s="18" t="s">
        <v>48</v>
      </c>
      <c r="B27" s="8">
        <f>_xlfn.STDEV.P(D17:M17)</f>
        <v>8.5304463089863503E-2</v>
      </c>
      <c r="C27" s="8">
        <f>AVERAGE(D17:M17)</f>
        <v>8.9502325951382494E-2</v>
      </c>
      <c r="D27" s="8">
        <f>C27-B27</f>
        <v>4.1978628615189917E-3</v>
      </c>
      <c r="E27" s="8">
        <f>C27+B27</f>
        <v>0.174806789041246</v>
      </c>
    </row>
    <row r="28" spans="1:26" ht="15" customHeight="1">
      <c r="A28" s="18" t="s">
        <v>50</v>
      </c>
      <c r="B28" s="8">
        <f>_xlfn.STDEV.P(D18:M18)</f>
        <v>9.3795645544414736E-3</v>
      </c>
      <c r="C28" s="8">
        <f>AVERAGE(D18:M18)</f>
        <v>1.3552431364001897E-2</v>
      </c>
      <c r="D28" s="8">
        <f>C28-B28</f>
        <v>4.1728668095604229E-3</v>
      </c>
      <c r="E28" s="8">
        <f>C28+B28</f>
        <v>2.293199591844337E-2</v>
      </c>
    </row>
    <row r="29" spans="1:26" ht="15" customHeight="1"/>
    <row r="30" spans="1:26" ht="50.1" customHeight="1"/>
    <row r="31" spans="1:26" ht="50.1" customHeight="1"/>
    <row r="32" spans="1:26" ht="50.1" customHeight="1"/>
    <row r="33" ht="50.1" customHeight="1"/>
    <row r="34" ht="50.1" customHeight="1"/>
    <row r="63" ht="55.15" customHeight="1"/>
    <row r="64" ht="27.6" customHeight="1"/>
    <row r="66" ht="55.15" customHeight="1"/>
  </sheetData>
  <mergeCells count="11">
    <mergeCell ref="B6:C6"/>
    <mergeCell ref="A21:D21"/>
    <mergeCell ref="A24:E24"/>
    <mergeCell ref="A1:A7"/>
    <mergeCell ref="B3:C3"/>
    <mergeCell ref="B4:C4"/>
    <mergeCell ref="B5:C5"/>
    <mergeCell ref="B1:Z1"/>
    <mergeCell ref="B2:Z2"/>
    <mergeCell ref="A14:Z14"/>
    <mergeCell ref="D15:Z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Мещанский одномандат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Осипов</cp:lastModifiedBy>
  <dcterms:created xsi:type="dcterms:W3CDTF">2026-03-04T02:42:00Z</dcterms:created>
  <dcterms:modified xsi:type="dcterms:W3CDTF">2026-03-11T22:48:36Z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8A290DE2AAEB4A3EA8A69DE26DB8B44E_13</vt:lpwstr>
  </property>
  <property fmtid="{D5CDD505-2E9C-101B-9397-08002B2CF9AE}" pid="3" name="KSOProductBuildVer">
    <vt:lpwstr>1049-12.2.0.23196</vt:lpwstr>
  </property>
</Properties>
</file>