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Maksim\Desktop\Новые Люди\"/>
    </mc:Choice>
  </mc:AlternateContent>
  <xr:revisionPtr revIDLastSave="0" documentId="13_ncr:1_{56B813F4-5A9C-48CA-9B39-1637909AB3D3}" xr6:coauthVersionLast="47" xr6:coauthVersionMax="47" xr10:uidLastSave="{00000000-0000-0000-0000-000000000000}"/>
  <bookViews>
    <workbookView xWindow="750" yWindow="990" windowWidth="21600" windowHeight="11385" xr2:uid="{00000000-000D-0000-FFFF-FFFF00000000}"/>
  </bookViews>
  <sheets>
    <sheet name="Мещанский одноманда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1" i="1" l="1"/>
  <c r="F21" i="1"/>
  <c r="G21" i="1"/>
  <c r="H21" i="1"/>
  <c r="I21" i="1"/>
  <c r="J21" i="1"/>
  <c r="K21" i="1"/>
  <c r="L21" i="1"/>
  <c r="M21" i="1"/>
  <c r="N21" i="1"/>
  <c r="D21" i="1"/>
  <c r="E20" i="1"/>
  <c r="F20" i="1"/>
  <c r="G20" i="1"/>
  <c r="H20" i="1"/>
  <c r="I20" i="1"/>
  <c r="J20" i="1"/>
  <c r="K20" i="1"/>
  <c r="L20" i="1"/>
  <c r="M20" i="1"/>
  <c r="N20" i="1"/>
  <c r="D20" i="1"/>
  <c r="E19" i="1"/>
  <c r="F19" i="1"/>
  <c r="G19" i="1"/>
  <c r="H19" i="1"/>
  <c r="I19" i="1"/>
  <c r="J19" i="1"/>
  <c r="K19" i="1"/>
  <c r="L19" i="1"/>
  <c r="M19" i="1"/>
  <c r="N19" i="1"/>
  <c r="D19" i="1"/>
  <c r="N16" i="1"/>
  <c r="N15" i="1"/>
  <c r="N14" i="1"/>
  <c r="N13" i="1"/>
  <c r="N12" i="1"/>
  <c r="N11" i="1"/>
  <c r="N10" i="1"/>
  <c r="N9" i="1"/>
  <c r="N8" i="1"/>
  <c r="N7" i="1"/>
  <c r="M6" i="1"/>
  <c r="L6" i="1"/>
  <c r="K6" i="1"/>
  <c r="J6" i="1"/>
  <c r="I6" i="1"/>
  <c r="H6" i="1"/>
  <c r="G6" i="1"/>
  <c r="F6" i="1"/>
  <c r="E6" i="1"/>
  <c r="D6" i="1"/>
  <c r="N5" i="1"/>
  <c r="N4" i="1"/>
  <c r="B29" i="1" l="1"/>
  <c r="C29" i="1"/>
  <c r="C31" i="1"/>
  <c r="C30" i="1"/>
  <c r="B30" i="1"/>
  <c r="B26" i="1"/>
  <c r="B31" i="1"/>
  <c r="N6" i="1"/>
  <c r="A26" i="1"/>
  <c r="E29" i="1" l="1"/>
  <c r="D31" i="1"/>
  <c r="D29" i="1"/>
  <c r="E30" i="1"/>
  <c r="D30" i="1"/>
  <c r="E31" i="1"/>
  <c r="D26" i="1"/>
  <c r="C26" i="1"/>
</calcChain>
</file>

<file path=xl/sharedStrings.xml><?xml version="1.0" encoding="utf-8"?>
<sst xmlns="http://schemas.openxmlformats.org/spreadsheetml/2006/main" count="61" uniqueCount="45">
  <si>
    <t>Итого</t>
  </si>
  <si>
    <t>Число избирателей, внесенных в список</t>
  </si>
  <si>
    <t xml:space="preserve">Число действительных бюллетеней </t>
  </si>
  <si>
    <t>Явка %</t>
  </si>
  <si>
    <t xml:space="preserve">ФИО </t>
  </si>
  <si>
    <t>Выдвинут</t>
  </si>
  <si>
    <t xml:space="preserve">Доля голосов </t>
  </si>
  <si>
    <t>Явка</t>
  </si>
  <si>
    <t>Дисперсия</t>
  </si>
  <si>
    <t>Среднее</t>
  </si>
  <si>
    <t>Минимум</t>
  </si>
  <si>
    <t>Максимум</t>
  </si>
  <si>
    <t>Выше максимума</t>
  </si>
  <si>
    <t>Ниже Минимума</t>
  </si>
  <si>
    <t>ФИО</t>
  </si>
  <si>
    <t>Щукино</t>
  </si>
  <si>
    <t>Щукинский одномандат</t>
  </si>
  <si>
    <t>УИК №3114</t>
  </si>
  <si>
    <t>УИК №3115</t>
  </si>
  <si>
    <t>УИК №3117</t>
  </si>
  <si>
    <t>УИК №3122</t>
  </si>
  <si>
    <t>УИК №3123</t>
  </si>
  <si>
    <t>УИК №3126</t>
  </si>
  <si>
    <t>УИК №3129</t>
  </si>
  <si>
    <t>УИК №3132</t>
  </si>
  <si>
    <t>УИК №3133</t>
  </si>
  <si>
    <t>УИК №3137</t>
  </si>
  <si>
    <t>Агранат Аркадий Борисович</t>
  </si>
  <si>
    <t>Будник Евгений Александрович</t>
  </si>
  <si>
    <t>Васильев Александр Михайлович</t>
  </si>
  <si>
    <t>Гаврилов Алексей Анатольевич</t>
  </si>
  <si>
    <t>Гребенник Андрей Вадимович</t>
  </si>
  <si>
    <t>Кабушев Андрей Васильевич</t>
  </si>
  <si>
    <t>Киселева Мария Александровна</t>
  </si>
  <si>
    <t>Орионов Валентин Валерьевич</t>
  </si>
  <si>
    <t>Парфёнов Михаил Игоревич</t>
  </si>
  <si>
    <t>Зелёные</t>
  </si>
  <si>
    <t>Справедливая Россия</t>
  </si>
  <si>
    <t>Коммунисты России</t>
  </si>
  <si>
    <t>Новые люди</t>
  </si>
  <si>
    <t>КПРФ</t>
  </si>
  <si>
    <t>самовыдвиженец</t>
  </si>
  <si>
    <t>Единая Россия</t>
  </si>
  <si>
    <t>ЛДПР</t>
  </si>
  <si>
    <t> самовыдвиженец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</si>
</sst>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\ ##0.00_-;\-* #\ ##0.00_-;_-* &quot;-&quot;??_-;_-@_-"/>
    <numFmt numFmtId="168" formatCode="_-* #\ ##0_-;\-* #\ ##0_-;_-* &quot;-&quot;??_-;_-@_-"/>
  </numFmts>
  <fonts count="10">
    <font>
      <sz val="11"/>
      <color theme="1"/>
      <name val="Calibri"/>
      <charset val="134"/>
      <scheme val="minor"/>
    </font>
    <font>
      <sz val="11"/>
      <name val="Calibri (Основной текст)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b/>
      <sz val="12"/>
      <name val="Times New Roman"/>
      <charset val="134"/>
    </font>
    <font>
      <sz val="10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/>
    <xf numFmtId="0" fontId="5" fillId="0" borderId="0"/>
    <xf numFmtId="164" fontId="5" fillId="0" borderId="0"/>
  </cellStyleXfs>
  <cellXfs count="44">
    <xf numFmtId="0" fontId="0" fillId="0" borderId="0" xfId="0"/>
    <xf numFmtId="0" fontId="1" fillId="0" borderId="0" xfId="0" applyFont="1"/>
    <xf numFmtId="0" fontId="2" fillId="0" borderId="1" xfId="2" applyFont="1" applyBorder="1" applyAlignment="1">
      <alignment horizontal="center" vertical="center" wrapText="1"/>
    </xf>
    <xf numFmtId="168" fontId="2" fillId="0" borderId="1" xfId="3" applyNumberFormat="1" applyFont="1" applyBorder="1" applyAlignment="1">
      <alignment horizontal="center" vertical="center" wrapText="1"/>
    </xf>
    <xf numFmtId="10" fontId="2" fillId="0" borderId="1" xfId="3" applyNumberFormat="1" applyFont="1" applyBorder="1" applyAlignment="1">
      <alignment horizontal="center" vertical="center" wrapText="1"/>
    </xf>
    <xf numFmtId="168" fontId="2" fillId="0" borderId="8" xfId="3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1" xfId="0" applyFont="1" applyFill="1" applyBorder="1"/>
    <xf numFmtId="0" fontId="2" fillId="2" borderId="1" xfId="0" applyFont="1" applyFill="1" applyBorder="1"/>
    <xf numFmtId="0" fontId="2" fillId="0" borderId="1" xfId="0" applyFont="1" applyBorder="1" applyAlignment="1">
      <alignment wrapText="1"/>
    </xf>
    <xf numFmtId="10" fontId="2" fillId="0" borderId="7" xfId="0" applyNumberFormat="1" applyFont="1" applyBorder="1" applyAlignment="1">
      <alignment horizontal="center" vertical="center" wrapText="1"/>
    </xf>
    <xf numFmtId="168" fontId="2" fillId="0" borderId="1" xfId="3" applyNumberFormat="1" applyFont="1" applyBorder="1" applyAlignment="1">
      <alignment horizontal="center" vertical="center" wrapText="1"/>
    </xf>
    <xf numFmtId="168" fontId="1" fillId="0" borderId="0" xfId="3" applyNumberFormat="1" applyFont="1"/>
    <xf numFmtId="0" fontId="2" fillId="0" borderId="1" xfId="2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4" xfId="2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9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2" fillId="0" borderId="6" xfId="2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8" fillId="0" borderId="1" xfId="0" applyFont="1" applyBorder="1"/>
    <xf numFmtId="0" fontId="8" fillId="5" borderId="1" xfId="0" applyFont="1" applyFill="1" applyBorder="1" applyAlignment="1">
      <alignment wrapText="1"/>
    </xf>
    <xf numFmtId="0" fontId="9" fillId="0" borderId="1" xfId="0" applyFont="1" applyBorder="1"/>
    <xf numFmtId="0" fontId="7" fillId="0" borderId="1" xfId="3" applyNumberFormat="1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 wrapText="1"/>
    </xf>
    <xf numFmtId="0" fontId="2" fillId="0" borderId="1" xfId="3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</cellXfs>
  <cellStyles count="4">
    <cellStyle name="Обычный" xfId="0" builtinId="0"/>
    <cellStyle name="Обычный 2" xfId="2" xr:uid="{00000000-0005-0000-0000-000031000000}"/>
    <cellStyle name="Финансовый" xfId="1" builtinId="3"/>
    <cellStyle name="Финансовый 2" xfId="3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6"/>
  <sheetViews>
    <sheetView tabSelected="1" workbookViewId="0">
      <selection activeCell="D33" sqref="D33"/>
    </sheetView>
  </sheetViews>
  <sheetFormatPr defaultColWidth="8.85546875" defaultRowHeight="13.5"/>
  <cols>
    <col min="1" max="1" width="15.7109375" style="1" customWidth="1"/>
    <col min="2" max="2" width="50.7109375" style="1" customWidth="1"/>
    <col min="3" max="3" width="25.7109375" style="1" customWidth="1"/>
    <col min="4" max="20" width="20.7109375" style="1" customWidth="1"/>
    <col min="21" max="21" width="11" style="1" customWidth="1"/>
    <col min="22" max="22" width="12.7109375" style="1" customWidth="1"/>
    <col min="23" max="23" width="13.28515625" style="1" customWidth="1"/>
    <col min="24" max="26" width="12.42578125" style="1" customWidth="1"/>
    <col min="27" max="27" width="13.85546875" style="1" customWidth="1"/>
    <col min="28" max="28" width="13.42578125" style="1" customWidth="1"/>
    <col min="29" max="29" width="13.28515625" style="1" customWidth="1"/>
    <col min="30" max="30" width="13.42578125" style="1" customWidth="1"/>
    <col min="31" max="31" width="13.140625" style="1" customWidth="1"/>
    <col min="32" max="32" width="12.7109375" style="1" customWidth="1"/>
    <col min="33" max="33" width="14.140625" style="1" customWidth="1"/>
    <col min="34" max="34" width="13.140625" style="1" customWidth="1"/>
    <col min="35" max="35" width="12.140625" style="1" customWidth="1"/>
    <col min="36" max="36" width="13.42578125" style="1" customWidth="1"/>
    <col min="37" max="37" width="13.85546875" style="1" customWidth="1"/>
    <col min="38" max="38" width="12.85546875" style="1" customWidth="1"/>
    <col min="39" max="39" width="13.42578125" style="1" customWidth="1"/>
    <col min="40" max="41" width="13.28515625" style="1" customWidth="1"/>
    <col min="42" max="42" width="13.85546875" style="1" customWidth="1"/>
    <col min="43" max="43" width="13.42578125" style="1" customWidth="1"/>
    <col min="44" max="44" width="12.85546875" style="1" customWidth="1"/>
    <col min="45" max="45" width="13.28515625" style="1" customWidth="1"/>
    <col min="46" max="46" width="12.7109375" style="1" customWidth="1"/>
    <col min="47" max="47" width="13.28515625" style="1" customWidth="1"/>
    <col min="48" max="48" width="12.42578125" style="1" customWidth="1"/>
    <col min="49" max="49" width="13.140625" style="1" customWidth="1"/>
    <col min="50" max="50" width="12.85546875" style="1" customWidth="1"/>
    <col min="51" max="51" width="14.140625" style="1" customWidth="1"/>
    <col min="52" max="52" width="12.85546875" style="1" customWidth="1"/>
    <col min="53" max="58" width="12.42578125" style="1" customWidth="1"/>
    <col min="59" max="87" width="11" style="1" customWidth="1"/>
    <col min="88" max="88" width="11.42578125" style="1" customWidth="1"/>
    <col min="89" max="96" width="11" style="1" customWidth="1"/>
    <col min="97" max="97" width="8.85546875" style="1" customWidth="1"/>
    <col min="98" max="16384" width="8.85546875" style="1"/>
  </cols>
  <sheetData>
    <row r="1" spans="1:51" ht="15" customHeight="1">
      <c r="A1" s="16"/>
      <c r="B1" s="24" t="s">
        <v>15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7"/>
      <c r="O1" s="26"/>
      <c r="P1" s="26"/>
      <c r="Q1" s="26"/>
      <c r="R1" s="26"/>
      <c r="S1" s="26"/>
      <c r="T1" s="26"/>
    </row>
    <row r="2" spans="1:51" ht="15" customHeight="1">
      <c r="A2" s="22"/>
      <c r="B2" s="24" t="s">
        <v>16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7"/>
      <c r="O2" s="26"/>
      <c r="P2" s="26"/>
      <c r="Q2" s="26"/>
      <c r="R2" s="26"/>
      <c r="S2" s="26"/>
      <c r="T2" s="26"/>
    </row>
    <row r="3" spans="1:51" ht="15" customHeight="1">
      <c r="A3" s="22"/>
      <c r="B3" s="19"/>
      <c r="C3" s="20"/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  <c r="N3" s="3" t="s">
        <v>0</v>
      </c>
    </row>
    <row r="4" spans="1:51" ht="15" customHeight="1">
      <c r="A4" s="22"/>
      <c r="B4" s="16" t="s">
        <v>1</v>
      </c>
      <c r="C4" s="18"/>
      <c r="D4" s="41">
        <v>5406</v>
      </c>
      <c r="E4" s="41">
        <v>3027</v>
      </c>
      <c r="F4" s="41">
        <v>5247</v>
      </c>
      <c r="G4" s="41">
        <v>4557</v>
      </c>
      <c r="H4" s="42">
        <v>4168</v>
      </c>
      <c r="I4" s="42">
        <v>2792</v>
      </c>
      <c r="J4" s="42">
        <v>4064</v>
      </c>
      <c r="K4" s="42">
        <v>2310</v>
      </c>
      <c r="L4" s="42">
        <v>4806</v>
      </c>
      <c r="M4" s="42">
        <v>6129</v>
      </c>
      <c r="N4" s="41">
        <f>SUM(D4:M4)</f>
        <v>42506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</row>
    <row r="5" spans="1:51" ht="15" customHeight="1">
      <c r="A5" s="22"/>
      <c r="B5" s="16" t="s">
        <v>2</v>
      </c>
      <c r="C5" s="18"/>
      <c r="D5" s="41">
        <v>369</v>
      </c>
      <c r="E5" s="41">
        <v>37</v>
      </c>
      <c r="F5" s="41">
        <v>268</v>
      </c>
      <c r="G5" s="41">
        <v>43</v>
      </c>
      <c r="H5" s="43">
        <v>35</v>
      </c>
      <c r="I5" s="43">
        <v>44</v>
      </c>
      <c r="J5" s="43">
        <v>119</v>
      </c>
      <c r="K5" s="43">
        <v>43</v>
      </c>
      <c r="L5" s="43">
        <v>110</v>
      </c>
      <c r="M5" s="43">
        <v>87</v>
      </c>
      <c r="N5" s="41">
        <f>SUM(D5:M5)</f>
        <v>1155</v>
      </c>
    </row>
    <row r="6" spans="1:51" ht="15" customHeight="1">
      <c r="A6" s="22"/>
      <c r="B6" s="16" t="s">
        <v>3</v>
      </c>
      <c r="C6" s="18"/>
      <c r="D6" s="4">
        <f t="shared" ref="D6:N6" si="0">D5/D4</f>
        <v>6.8257491675915646E-2</v>
      </c>
      <c r="E6" s="4">
        <f t="shared" si="0"/>
        <v>1.2223323422530559E-2</v>
      </c>
      <c r="F6" s="4">
        <f t="shared" si="0"/>
        <v>5.1076805793786928E-2</v>
      </c>
      <c r="G6" s="4">
        <f t="shared" si="0"/>
        <v>9.4360324775071315E-3</v>
      </c>
      <c r="H6" s="4">
        <f t="shared" si="0"/>
        <v>8.3973128598848375E-3</v>
      </c>
      <c r="I6" s="4">
        <f t="shared" si="0"/>
        <v>1.5759312320916905E-2</v>
      </c>
      <c r="J6" s="4">
        <f t="shared" si="0"/>
        <v>2.9281496062992126E-2</v>
      </c>
      <c r="K6" s="4">
        <f t="shared" si="0"/>
        <v>1.8614718614718615E-2</v>
      </c>
      <c r="L6" s="4">
        <f t="shared" si="0"/>
        <v>2.2888056595921764E-2</v>
      </c>
      <c r="M6" s="4">
        <f t="shared" si="0"/>
        <v>1.4194811551639746E-2</v>
      </c>
      <c r="N6" s="4">
        <f t="shared" si="0"/>
        <v>2.7172634451606833E-2</v>
      </c>
    </row>
    <row r="7" spans="1:51" ht="15" customHeight="1">
      <c r="A7" s="23"/>
      <c r="B7" s="2" t="s">
        <v>4</v>
      </c>
      <c r="C7" s="2" t="s">
        <v>5</v>
      </c>
      <c r="D7" s="5"/>
      <c r="E7" s="6"/>
      <c r="F7" s="6"/>
      <c r="G7" s="6"/>
      <c r="H7" s="6"/>
      <c r="I7" s="6"/>
      <c r="J7" s="6"/>
      <c r="K7" s="6"/>
      <c r="L7" s="6"/>
      <c r="M7" s="6"/>
      <c r="N7" s="14">
        <f>SUM(D7:M7)</f>
        <v>0</v>
      </c>
    </row>
    <row r="8" spans="1:51" ht="15" customHeight="1">
      <c r="A8" s="35">
        <v>1</v>
      </c>
      <c r="B8" s="36" t="s">
        <v>27</v>
      </c>
      <c r="C8" s="38" t="s">
        <v>36</v>
      </c>
      <c r="D8" s="39">
        <v>16</v>
      </c>
      <c r="E8" s="39">
        <v>1</v>
      </c>
      <c r="F8" s="39">
        <v>2</v>
      </c>
      <c r="G8" s="39">
        <v>2</v>
      </c>
      <c r="H8" s="39">
        <v>2</v>
      </c>
      <c r="I8" s="39">
        <v>2</v>
      </c>
      <c r="J8" s="39">
        <v>0</v>
      </c>
      <c r="K8" s="39">
        <v>1</v>
      </c>
      <c r="L8" s="40">
        <v>0</v>
      </c>
      <c r="M8" s="40">
        <v>2</v>
      </c>
      <c r="N8" s="39">
        <f>SUM(D8:M8)</f>
        <v>28</v>
      </c>
    </row>
    <row r="9" spans="1:51" ht="15" customHeight="1">
      <c r="A9" s="35">
        <v>2</v>
      </c>
      <c r="B9" s="36" t="s">
        <v>28</v>
      </c>
      <c r="C9" s="38" t="s">
        <v>37</v>
      </c>
      <c r="D9" s="39">
        <v>10</v>
      </c>
      <c r="E9" s="39">
        <v>1</v>
      </c>
      <c r="F9" s="39">
        <v>4</v>
      </c>
      <c r="G9" s="39">
        <v>1</v>
      </c>
      <c r="H9" s="39">
        <v>1</v>
      </c>
      <c r="I9" s="39">
        <v>0</v>
      </c>
      <c r="J9" s="39">
        <v>1</v>
      </c>
      <c r="K9" s="39">
        <v>0</v>
      </c>
      <c r="L9" s="40">
        <v>0</v>
      </c>
      <c r="M9" s="40">
        <v>3</v>
      </c>
      <c r="N9" s="39">
        <f>SUM(D9:M9)</f>
        <v>21</v>
      </c>
    </row>
    <row r="10" spans="1:51" ht="15" customHeight="1">
      <c r="A10" s="35">
        <v>3</v>
      </c>
      <c r="B10" s="36" t="s">
        <v>29</v>
      </c>
      <c r="C10" s="38" t="s">
        <v>38</v>
      </c>
      <c r="D10" s="39">
        <v>13</v>
      </c>
      <c r="E10" s="39">
        <v>4</v>
      </c>
      <c r="F10" s="39">
        <v>5</v>
      </c>
      <c r="G10" s="39">
        <v>2</v>
      </c>
      <c r="H10" s="39">
        <v>0</v>
      </c>
      <c r="I10" s="39">
        <v>0</v>
      </c>
      <c r="J10" s="39">
        <v>2</v>
      </c>
      <c r="K10" s="39">
        <v>0</v>
      </c>
      <c r="L10" s="40">
        <v>0</v>
      </c>
      <c r="M10" s="40">
        <v>5</v>
      </c>
      <c r="N10" s="39">
        <f>SUM(D10:M10)</f>
        <v>31</v>
      </c>
    </row>
    <row r="11" spans="1:51" ht="15" customHeight="1">
      <c r="A11" s="35">
        <v>4</v>
      </c>
      <c r="B11" s="36" t="s">
        <v>30</v>
      </c>
      <c r="C11" s="38" t="s">
        <v>39</v>
      </c>
      <c r="D11" s="39">
        <v>39</v>
      </c>
      <c r="E11" s="39">
        <v>2</v>
      </c>
      <c r="F11" s="40">
        <v>8</v>
      </c>
      <c r="G11" s="39">
        <v>1</v>
      </c>
      <c r="H11" s="39">
        <v>1</v>
      </c>
      <c r="I11" s="39">
        <v>1</v>
      </c>
      <c r="J11" s="39">
        <v>8</v>
      </c>
      <c r="K11" s="39">
        <v>0</v>
      </c>
      <c r="L11" s="40">
        <v>3</v>
      </c>
      <c r="M11" s="40">
        <v>3</v>
      </c>
      <c r="N11" s="39">
        <f>SUM(D11:M11)</f>
        <v>66</v>
      </c>
    </row>
    <row r="12" spans="1:51" ht="15" customHeight="1">
      <c r="A12" s="35">
        <v>5</v>
      </c>
      <c r="B12" s="36" t="s">
        <v>31</v>
      </c>
      <c r="C12" s="38" t="s">
        <v>40</v>
      </c>
      <c r="D12" s="39">
        <v>40</v>
      </c>
      <c r="E12" s="39">
        <v>18</v>
      </c>
      <c r="F12" s="40">
        <v>13</v>
      </c>
      <c r="G12" s="39">
        <v>11</v>
      </c>
      <c r="H12" s="39">
        <v>13</v>
      </c>
      <c r="I12" s="39">
        <v>20</v>
      </c>
      <c r="J12" s="39">
        <v>9</v>
      </c>
      <c r="K12" s="39">
        <v>8</v>
      </c>
      <c r="L12" s="40">
        <v>20</v>
      </c>
      <c r="M12" s="40">
        <v>30</v>
      </c>
      <c r="N12" s="39">
        <f>SUM(D12:M12)</f>
        <v>182</v>
      </c>
    </row>
    <row r="13" spans="1:51" ht="15" customHeight="1">
      <c r="A13" s="35">
        <v>6</v>
      </c>
      <c r="B13" s="36" t="s">
        <v>32</v>
      </c>
      <c r="C13" s="38" t="s">
        <v>41</v>
      </c>
      <c r="D13" s="39">
        <v>7</v>
      </c>
      <c r="E13" s="39">
        <v>0</v>
      </c>
      <c r="F13" s="40">
        <v>6</v>
      </c>
      <c r="G13" s="39">
        <v>0</v>
      </c>
      <c r="H13" s="39">
        <v>1</v>
      </c>
      <c r="I13" s="39">
        <v>3</v>
      </c>
      <c r="J13" s="39">
        <v>1</v>
      </c>
      <c r="K13" s="39">
        <v>0</v>
      </c>
      <c r="L13" s="40">
        <v>0</v>
      </c>
      <c r="M13" s="40">
        <v>0</v>
      </c>
      <c r="N13" s="39">
        <f>SUM(D13:M13)</f>
        <v>18</v>
      </c>
    </row>
    <row r="14" spans="1:51" ht="15" customHeight="1">
      <c r="A14" s="35">
        <v>7</v>
      </c>
      <c r="B14" s="37" t="s">
        <v>33</v>
      </c>
      <c r="C14" s="38" t="s">
        <v>42</v>
      </c>
      <c r="D14" s="39">
        <v>224</v>
      </c>
      <c r="E14" s="39">
        <v>9</v>
      </c>
      <c r="F14" s="40">
        <v>220</v>
      </c>
      <c r="G14" s="39">
        <v>36</v>
      </c>
      <c r="H14" s="39">
        <v>17</v>
      </c>
      <c r="I14" s="39">
        <v>15</v>
      </c>
      <c r="J14" s="39">
        <v>97</v>
      </c>
      <c r="K14" s="39">
        <v>34</v>
      </c>
      <c r="L14" s="40">
        <v>84</v>
      </c>
      <c r="M14" s="40">
        <v>41</v>
      </c>
      <c r="N14" s="39">
        <f>SUM(D14:M14)</f>
        <v>777</v>
      </c>
    </row>
    <row r="15" spans="1:51" ht="15" customHeight="1">
      <c r="A15" s="35">
        <v>8</v>
      </c>
      <c r="B15" s="36" t="s">
        <v>34</v>
      </c>
      <c r="C15" s="38" t="s">
        <v>43</v>
      </c>
      <c r="D15" s="39">
        <v>10</v>
      </c>
      <c r="E15" s="39">
        <v>1</v>
      </c>
      <c r="F15" s="40">
        <v>6</v>
      </c>
      <c r="G15" s="39">
        <v>0</v>
      </c>
      <c r="H15" s="39">
        <v>0</v>
      </c>
      <c r="I15" s="39">
        <v>0</v>
      </c>
      <c r="J15" s="39">
        <v>0</v>
      </c>
      <c r="K15" s="39">
        <v>0</v>
      </c>
      <c r="L15" s="40">
        <v>1</v>
      </c>
      <c r="M15" s="40">
        <v>2</v>
      </c>
      <c r="N15" s="39">
        <f>SUM(D15:M15)</f>
        <v>20</v>
      </c>
    </row>
    <row r="16" spans="1:51" ht="15" customHeight="1">
      <c r="A16" s="35">
        <v>9</v>
      </c>
      <c r="B16" s="36" t="s">
        <v>35</v>
      </c>
      <c r="C16" s="38" t="s">
        <v>44</v>
      </c>
      <c r="D16" s="39">
        <v>10</v>
      </c>
      <c r="E16" s="39">
        <v>1</v>
      </c>
      <c r="F16" s="40">
        <v>4</v>
      </c>
      <c r="G16" s="39">
        <v>0</v>
      </c>
      <c r="H16" s="39">
        <v>0</v>
      </c>
      <c r="I16" s="39">
        <v>3</v>
      </c>
      <c r="J16" s="39">
        <v>1</v>
      </c>
      <c r="K16" s="39">
        <v>0</v>
      </c>
      <c r="L16" s="40">
        <v>2</v>
      </c>
      <c r="M16" s="40">
        <v>1</v>
      </c>
      <c r="N16" s="39">
        <f>SUM(D16:M16)</f>
        <v>22</v>
      </c>
    </row>
    <row r="17" spans="1:20" ht="15" customHeight="1">
      <c r="A17" s="32" t="s">
        <v>6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4"/>
    </row>
    <row r="18" spans="1:20" ht="15" customHeight="1">
      <c r="A18" s="7"/>
      <c r="B18" s="7" t="s">
        <v>4</v>
      </c>
      <c r="C18" s="7" t="s">
        <v>5</v>
      </c>
      <c r="D18" s="28"/>
      <c r="E18" s="29"/>
      <c r="F18" s="29"/>
      <c r="G18" s="29"/>
      <c r="H18" s="29"/>
      <c r="I18" s="29"/>
      <c r="J18" s="29"/>
      <c r="K18" s="29"/>
      <c r="L18" s="29"/>
      <c r="M18" s="29"/>
      <c r="N18" s="30"/>
    </row>
    <row r="19" spans="1:20" ht="15" customHeight="1">
      <c r="A19" s="7">
        <v>1</v>
      </c>
      <c r="B19" s="37" t="s">
        <v>33</v>
      </c>
      <c r="C19" s="38" t="s">
        <v>42</v>
      </c>
      <c r="D19" s="31">
        <f>D14/D5</f>
        <v>0.60704607046070458</v>
      </c>
      <c r="E19" s="31">
        <f t="shared" ref="E19:N19" si="1">E14/E5</f>
        <v>0.24324324324324326</v>
      </c>
      <c r="F19" s="31">
        <f t="shared" si="1"/>
        <v>0.82089552238805974</v>
      </c>
      <c r="G19" s="31">
        <f t="shared" si="1"/>
        <v>0.83720930232558144</v>
      </c>
      <c r="H19" s="31">
        <f t="shared" si="1"/>
        <v>0.48571428571428571</v>
      </c>
      <c r="I19" s="31">
        <f t="shared" si="1"/>
        <v>0.34090909090909088</v>
      </c>
      <c r="J19" s="31">
        <f t="shared" si="1"/>
        <v>0.81512605042016806</v>
      </c>
      <c r="K19" s="31">
        <f t="shared" si="1"/>
        <v>0.79069767441860461</v>
      </c>
      <c r="L19" s="31">
        <f t="shared" si="1"/>
        <v>0.76363636363636367</v>
      </c>
      <c r="M19" s="31">
        <f t="shared" si="1"/>
        <v>0.47126436781609193</v>
      </c>
      <c r="N19" s="31">
        <f t="shared" si="1"/>
        <v>0.67272727272727273</v>
      </c>
    </row>
    <row r="20" spans="1:20" ht="15" customHeight="1">
      <c r="A20" s="7">
        <v>2</v>
      </c>
      <c r="B20" s="36" t="s">
        <v>31</v>
      </c>
      <c r="C20" s="38" t="s">
        <v>40</v>
      </c>
      <c r="D20" s="8">
        <f>D12/D5</f>
        <v>0.10840108401084012</v>
      </c>
      <c r="E20" s="8">
        <f t="shared" ref="E20:N20" si="2">E12/E5</f>
        <v>0.48648648648648651</v>
      </c>
      <c r="F20" s="8">
        <f t="shared" si="2"/>
        <v>4.8507462686567165E-2</v>
      </c>
      <c r="G20" s="8">
        <f t="shared" si="2"/>
        <v>0.2558139534883721</v>
      </c>
      <c r="H20" s="8">
        <f t="shared" si="2"/>
        <v>0.37142857142857144</v>
      </c>
      <c r="I20" s="8">
        <f t="shared" si="2"/>
        <v>0.45454545454545453</v>
      </c>
      <c r="J20" s="8">
        <f t="shared" si="2"/>
        <v>7.5630252100840331E-2</v>
      </c>
      <c r="K20" s="8">
        <f t="shared" si="2"/>
        <v>0.18604651162790697</v>
      </c>
      <c r="L20" s="8">
        <f t="shared" si="2"/>
        <v>0.18181818181818182</v>
      </c>
      <c r="M20" s="8">
        <f t="shared" si="2"/>
        <v>0.34482758620689657</v>
      </c>
      <c r="N20" s="8">
        <f t="shared" si="2"/>
        <v>0.15757575757575756</v>
      </c>
      <c r="O20" s="26"/>
      <c r="P20" s="26"/>
      <c r="Q20" s="26"/>
      <c r="R20" s="26"/>
      <c r="S20" s="26"/>
      <c r="T20" s="26"/>
    </row>
    <row r="21" spans="1:20" ht="15" customHeight="1">
      <c r="A21" s="7">
        <v>3</v>
      </c>
      <c r="B21" s="36" t="s">
        <v>30</v>
      </c>
      <c r="C21" s="38" t="s">
        <v>39</v>
      </c>
      <c r="D21" s="8">
        <f>D11/D5</f>
        <v>0.10569105691056911</v>
      </c>
      <c r="E21" s="8">
        <f t="shared" ref="E21:N21" si="3">E11/E5</f>
        <v>5.4054054054054057E-2</v>
      </c>
      <c r="F21" s="8">
        <f t="shared" si="3"/>
        <v>2.9850746268656716E-2</v>
      </c>
      <c r="G21" s="8">
        <f t="shared" si="3"/>
        <v>2.3255813953488372E-2</v>
      </c>
      <c r="H21" s="8">
        <f t="shared" si="3"/>
        <v>2.8571428571428571E-2</v>
      </c>
      <c r="I21" s="8">
        <f t="shared" si="3"/>
        <v>2.2727272727272728E-2</v>
      </c>
      <c r="J21" s="8">
        <f t="shared" si="3"/>
        <v>6.7226890756302518E-2</v>
      </c>
      <c r="K21" s="8">
        <f t="shared" si="3"/>
        <v>0</v>
      </c>
      <c r="L21" s="8">
        <f t="shared" si="3"/>
        <v>2.7272727272727271E-2</v>
      </c>
      <c r="M21" s="8">
        <f t="shared" si="3"/>
        <v>3.4482758620689655E-2</v>
      </c>
      <c r="N21" s="8">
        <f t="shared" si="3"/>
        <v>5.7142857142857141E-2</v>
      </c>
      <c r="O21" s="26"/>
      <c r="P21" s="26"/>
      <c r="Q21" s="26"/>
      <c r="R21" s="26"/>
      <c r="S21" s="26"/>
      <c r="T21" s="26"/>
    </row>
    <row r="22" spans="1:20" ht="15" customHeight="1"/>
    <row r="23" spans="1:20" ht="15" customHeight="1"/>
    <row r="24" spans="1:20" ht="15" customHeight="1">
      <c r="A24" s="21" t="s">
        <v>7</v>
      </c>
      <c r="B24" s="17"/>
      <c r="C24" s="17"/>
      <c r="D24" s="18"/>
      <c r="E24" s="6"/>
      <c r="G24" s="10"/>
      <c r="H24" s="11"/>
    </row>
    <row r="25" spans="1:20" ht="15" customHeight="1">
      <c r="A25" s="9" t="s">
        <v>8</v>
      </c>
      <c r="B25" s="9" t="s">
        <v>9</v>
      </c>
      <c r="C25" s="9" t="s">
        <v>10</v>
      </c>
      <c r="D25" s="9" t="s">
        <v>11</v>
      </c>
      <c r="E25" s="6"/>
      <c r="G25" s="12" t="s">
        <v>12</v>
      </c>
      <c r="H25" s="12" t="s">
        <v>13</v>
      </c>
    </row>
    <row r="26" spans="1:20" ht="15" customHeight="1">
      <c r="A26" s="13">
        <f>_xlfn.STDEV.P(D6:M6)</f>
        <v>1.8703059163615064E-2</v>
      </c>
      <c r="B26" s="13">
        <f>AVERAGE(D6:M6)</f>
        <v>2.5012936137581425E-2</v>
      </c>
      <c r="C26" s="13">
        <f>B26-A26</f>
        <v>6.3098769739663614E-3</v>
      </c>
      <c r="D26" s="13">
        <f>B26+A26</f>
        <v>4.3715995301196492E-2</v>
      </c>
      <c r="E26" s="6"/>
    </row>
    <row r="27" spans="1:20" ht="15" customHeight="1">
      <c r="A27" s="21" t="s">
        <v>6</v>
      </c>
      <c r="B27" s="17"/>
      <c r="C27" s="17"/>
      <c r="D27" s="17"/>
      <c r="E27" s="18"/>
    </row>
    <row r="28" spans="1:20" ht="15" customHeight="1">
      <c r="A28" s="9" t="s">
        <v>14</v>
      </c>
      <c r="B28" s="9" t="s">
        <v>8</v>
      </c>
      <c r="C28" s="9" t="s">
        <v>9</v>
      </c>
      <c r="D28" s="9" t="s">
        <v>10</v>
      </c>
      <c r="E28" s="9" t="s">
        <v>11</v>
      </c>
    </row>
    <row r="29" spans="1:20" ht="15" customHeight="1">
      <c r="A29" s="37" t="s">
        <v>33</v>
      </c>
      <c r="B29" s="8">
        <f>_xlfn.STDEV.P(D19:M19)</f>
        <v>0.20868240420120829</v>
      </c>
      <c r="C29" s="8">
        <f>AVERAGE(D19:M19)</f>
        <v>0.61757419713321937</v>
      </c>
      <c r="D29" s="8">
        <f>C29-B29</f>
        <v>0.40889179293201106</v>
      </c>
      <c r="E29" s="8">
        <f>C29+B29</f>
        <v>0.82625660133442769</v>
      </c>
    </row>
    <row r="30" spans="1:20" ht="50.1" customHeight="1">
      <c r="A30" s="36" t="s">
        <v>31</v>
      </c>
      <c r="B30" s="8">
        <f>_xlfn.STDEV.P(D20:M20)</f>
        <v>0.14876509873065497</v>
      </c>
      <c r="C30" s="8">
        <f>AVERAGE(D20:M20)</f>
        <v>0.25135055444001175</v>
      </c>
      <c r="D30" s="8">
        <f>C30-B30</f>
        <v>0.10258545570935679</v>
      </c>
      <c r="E30" s="8">
        <f>C30+B30</f>
        <v>0.40011565317066672</v>
      </c>
    </row>
    <row r="31" spans="1:20" ht="50.1" customHeight="1">
      <c r="A31" s="36" t="s">
        <v>30</v>
      </c>
      <c r="B31" s="8">
        <f>_xlfn.STDEV.P(D21:M21)</f>
        <v>2.8025304554464382E-2</v>
      </c>
      <c r="C31" s="8">
        <f>AVERAGE(D21:M21)</f>
        <v>3.9313274913518902E-2</v>
      </c>
      <c r="D31" s="8">
        <f>C31-B31</f>
        <v>1.128797035905452E-2</v>
      </c>
      <c r="E31" s="8">
        <f>C31+B31</f>
        <v>6.7338579467983287E-2</v>
      </c>
    </row>
    <row r="32" spans="1:20" ht="50.1" customHeight="1"/>
    <row r="33" ht="50.1" customHeight="1"/>
    <row r="34" ht="50.1" customHeight="1"/>
    <row r="63" ht="55.15" customHeight="1"/>
    <row r="64" ht="27.6" customHeight="1"/>
    <row r="66" ht="55.15" customHeight="1"/>
  </sheetData>
  <mergeCells count="11">
    <mergeCell ref="B6:C6"/>
    <mergeCell ref="A24:D24"/>
    <mergeCell ref="A27:E27"/>
    <mergeCell ref="A1:A7"/>
    <mergeCell ref="B1:N1"/>
    <mergeCell ref="B2:N2"/>
    <mergeCell ref="A17:N17"/>
    <mergeCell ref="D18:N18"/>
    <mergeCell ref="B3:C3"/>
    <mergeCell ref="B4:C4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Мещанский одномандат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Максим Осипов</cp:lastModifiedBy>
  <dcterms:created xsi:type="dcterms:W3CDTF">2026-03-04T02:42:00Z</dcterms:created>
  <dcterms:modified xsi:type="dcterms:W3CDTF">2026-03-11T21:34:55Z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8A290DE2AAEB4A3EA8A69DE26DB8B44E_13</vt:lpwstr>
  </property>
  <property fmtid="{D5CDD505-2E9C-101B-9397-08002B2CF9AE}" pid="3" name="KSOProductBuildVer">
    <vt:lpwstr>1049-12.2.0.23196</vt:lpwstr>
  </property>
</Properties>
</file>