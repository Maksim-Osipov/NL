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ksim\Desktop\Новые Люди\"/>
    </mc:Choice>
  </mc:AlternateContent>
  <xr:revisionPtr revIDLastSave="0" documentId="13_ncr:1_{7430B0E7-C2E4-410E-9BCF-87CA91A4D2F8}" xr6:coauthVersionLast="47" xr6:coauthVersionMax="47" xr10:uidLastSave="{00000000-0000-0000-0000-000000000000}"/>
  <bookViews>
    <workbookView xWindow="1050" yWindow="3060" windowWidth="21600" windowHeight="11385" xr2:uid="{00000000-000D-0000-FFFF-FFFF00000000}"/>
  </bookViews>
  <sheets>
    <sheet name="Мещанский одноманда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" i="1" l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J14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J15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J16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J17" i="1"/>
  <c r="M14" i="1"/>
  <c r="M15" i="1"/>
  <c r="M16" i="1"/>
  <c r="M17" i="1"/>
  <c r="AJ5" i="1"/>
  <c r="AJ6" i="1"/>
  <c r="AJ7" i="1"/>
  <c r="AJ8" i="1"/>
  <c r="AJ9" i="1"/>
  <c r="AJ10" i="1"/>
  <c r="AJ11" i="1"/>
  <c r="AJ4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E17" i="1"/>
  <c r="F17" i="1"/>
  <c r="G17" i="1"/>
  <c r="H17" i="1"/>
  <c r="I17" i="1"/>
  <c r="J17" i="1"/>
  <c r="K17" i="1"/>
  <c r="L17" i="1"/>
  <c r="D17" i="1"/>
  <c r="D16" i="1"/>
  <c r="E15" i="1"/>
  <c r="F15" i="1"/>
  <c r="G15" i="1"/>
  <c r="H15" i="1"/>
  <c r="I15" i="1"/>
  <c r="J15" i="1"/>
  <c r="K15" i="1"/>
  <c r="L15" i="1"/>
  <c r="D15" i="1"/>
  <c r="E16" i="1"/>
  <c r="F16" i="1"/>
  <c r="G16" i="1"/>
  <c r="H16" i="1"/>
  <c r="I16" i="1"/>
  <c r="J16" i="1"/>
  <c r="K16" i="1"/>
  <c r="L16" i="1"/>
  <c r="E14" i="1"/>
  <c r="F14" i="1"/>
  <c r="G14" i="1"/>
  <c r="H14" i="1"/>
  <c r="I14" i="1"/>
  <c r="J14" i="1"/>
  <c r="K14" i="1"/>
  <c r="L14" i="1"/>
  <c r="D14" i="1"/>
  <c r="D6" i="1"/>
  <c r="E6" i="1"/>
  <c r="F6" i="1"/>
  <c r="G6" i="1"/>
  <c r="H6" i="1"/>
  <c r="I6" i="1"/>
  <c r="J6" i="1"/>
  <c r="K6" i="1"/>
  <c r="L6" i="1"/>
  <c r="B25" i="1" l="1"/>
  <c r="B27" i="1"/>
  <c r="C27" i="1"/>
  <c r="C24" i="1"/>
  <c r="C25" i="1"/>
  <c r="C26" i="1"/>
  <c r="B24" i="1"/>
  <c r="B26" i="1"/>
  <c r="A21" i="1"/>
  <c r="B21" i="1"/>
  <c r="D27" i="1" l="1"/>
  <c r="D25" i="1"/>
  <c r="E27" i="1"/>
  <c r="E26" i="1"/>
  <c r="E25" i="1"/>
  <c r="E24" i="1"/>
  <c r="D24" i="1"/>
  <c r="D26" i="1"/>
  <c r="D21" i="1"/>
  <c r="C21" i="1"/>
</calcChain>
</file>

<file path=xl/sharedStrings.xml><?xml version="1.0" encoding="utf-8"?>
<sst xmlns="http://schemas.openxmlformats.org/spreadsheetml/2006/main" count="75" uniqueCount="56">
  <si>
    <t>Итого</t>
  </si>
  <si>
    <t>Число избирателей, внесенных в список</t>
  </si>
  <si>
    <t xml:space="preserve">Число действительных бюллетеней </t>
  </si>
  <si>
    <t>Явка %</t>
  </si>
  <si>
    <t xml:space="preserve">ФИО </t>
  </si>
  <si>
    <t>Выдвинут</t>
  </si>
  <si>
    <t xml:space="preserve">Доля голосов </t>
  </si>
  <si>
    <t>Явка</t>
  </si>
  <si>
    <t>Дисперсия</t>
  </si>
  <si>
    <t>Среднее</t>
  </si>
  <si>
    <t>Минимум</t>
  </si>
  <si>
    <t>Максимум</t>
  </si>
  <si>
    <t>Выше максимума</t>
  </si>
  <si>
    <t>Ниже Минимума</t>
  </si>
  <si>
    <t>ФИО</t>
  </si>
  <si>
    <t>КПРФ</t>
  </si>
  <si>
    <t>Новые Люди</t>
  </si>
  <si>
    <t>Путин Владимир Владимирович</t>
  </si>
  <si>
    <t>Слуцкий Леонид Эдуардович</t>
  </si>
  <si>
    <t>Харитонов Николай Михайлович</t>
  </si>
  <si>
    <t>Самовыджвиженец</t>
  </si>
  <si>
    <t>ЛДПР</t>
  </si>
  <si>
    <t xml:space="preserve">     Даванков Владислав Андреевич</t>
  </si>
  <si>
    <t>УИК №3065</t>
  </si>
  <si>
    <t>УИК №3067</t>
  </si>
  <si>
    <t>УИК №3069</t>
  </si>
  <si>
    <t>УИК №3070</t>
  </si>
  <si>
    <t>УИК №3071</t>
  </si>
  <si>
    <t>УИК №3073</t>
  </si>
  <si>
    <t>УИК №3074</t>
  </si>
  <si>
    <t>УИК №3076</t>
  </si>
  <si>
    <t>УИК №3077</t>
  </si>
  <si>
    <t>УИК №3079</t>
  </si>
  <si>
    <t>УИК №3080</t>
  </si>
  <si>
    <t>УИК №3083</t>
  </si>
  <si>
    <t>УИК №3084</t>
  </si>
  <si>
    <t>УИК №3085</t>
  </si>
  <si>
    <t>УИК №3086</t>
  </si>
  <si>
    <t>УИК №3087</t>
  </si>
  <si>
    <t>УИК №3090</t>
  </si>
  <si>
    <t>УИК №3091</t>
  </si>
  <si>
    <t>УИК №3092</t>
  </si>
  <si>
    <t>УИК №3094</t>
  </si>
  <si>
    <t>УИК №3096</t>
  </si>
  <si>
    <t>УИК №3097</t>
  </si>
  <si>
    <t>УИК №3098</t>
  </si>
  <si>
    <t>УИК №3099</t>
  </si>
  <si>
    <t>УИК №3101</t>
  </si>
  <si>
    <t>УИК №3103</t>
  </si>
  <si>
    <t>УИК №3105</t>
  </si>
  <si>
    <t>УИК №3106</t>
  </si>
  <si>
    <t>УИК №3107</t>
  </si>
  <si>
    <t>УИК №3109</t>
  </si>
  <si>
    <t>УИК №3777</t>
  </si>
  <si>
    <t>УИК №3779</t>
  </si>
  <si>
    <t>Хорошево-Мневники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</si>
</sst>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\ ##0.00_-;\-* #\ ##0.00_-;_-* &quot;-&quot;??_-;_-@_-"/>
    <numFmt numFmtId="165" formatCode="_-* #\ ##0_-;\-* #\ ##0_-;_-* &quot;-&quot;??_-;_-@_-"/>
  </numFmts>
  <fonts count="9">
    <font>
      <sz val="11"/>
      <color theme="1"/>
      <name val="Calibri"/>
      <charset val="134"/>
      <scheme val="minor"/>
    </font>
    <font>
      <sz val="11"/>
      <name val="Calibri (Основной текст)"/>
      <charset val="13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rgb="FF494845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164" fontId="5" fillId="0" borderId="0"/>
    <xf numFmtId="0" fontId="6" fillId="0" borderId="0"/>
  </cellStyleXfs>
  <cellXfs count="42">
    <xf numFmtId="0" fontId="0" fillId="0" borderId="0" xfId="0"/>
    <xf numFmtId="0" fontId="1" fillId="0" borderId="0" xfId="0" applyFont="1"/>
    <xf numFmtId="0" fontId="2" fillId="0" borderId="1" xfId="1" applyFont="1" applyBorder="1" applyAlignment="1">
      <alignment horizontal="center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10" fontId="2" fillId="0" borderId="1" xfId="2" applyNumberFormat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65" fontId="2" fillId="0" borderId="8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10" fontId="2" fillId="0" borderId="7" xfId="0" applyNumberFormat="1" applyFont="1" applyBorder="1" applyAlignment="1">
      <alignment horizontal="center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165" fontId="1" fillId="0" borderId="0" xfId="2" applyNumberFormat="1" applyFont="1"/>
    <xf numFmtId="0" fontId="7" fillId="4" borderId="1" xfId="3" applyFont="1" applyFill="1" applyBorder="1" applyAlignment="1">
      <alignment horizontal="right" vertical="center" wrapText="1" indent="2"/>
    </xf>
    <xf numFmtId="0" fontId="8" fillId="4" borderId="1" xfId="3" applyFont="1" applyFill="1" applyBorder="1" applyAlignment="1">
      <alignment horizontal="right" vertical="center" wrapText="1" indent="2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7" fillId="0" borderId="1" xfId="0" applyFont="1" applyBorder="1"/>
    <xf numFmtId="0" fontId="7" fillId="4" borderId="1" xfId="0" applyFont="1" applyFill="1" applyBorder="1" applyAlignment="1">
      <alignment horizontal="left" vertical="center" wrapText="1" indent="2"/>
    </xf>
    <xf numFmtId="0" fontId="1" fillId="0" borderId="1" xfId="0" applyFont="1" applyBorder="1"/>
    <xf numFmtId="0" fontId="2" fillId="0" borderId="9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31000000}"/>
    <cellStyle name="Обычный 3" xfId="3" xr:uid="{EAA020A7-86E1-4CA8-A5DC-8C75D86398D8}"/>
    <cellStyle name="Финансовый 2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6"/>
  <sheetViews>
    <sheetView tabSelected="1" workbookViewId="0">
      <selection activeCell="D13" sqref="A12:AJ13"/>
    </sheetView>
  </sheetViews>
  <sheetFormatPr defaultColWidth="8.7109375" defaultRowHeight="13.5"/>
  <cols>
    <col min="1" max="1" width="14.28515625" style="1" customWidth="1"/>
    <col min="2" max="2" width="50.7109375" style="1" customWidth="1"/>
    <col min="3" max="3" width="25.7109375" style="1" customWidth="1"/>
    <col min="4" max="20" width="20.7109375" style="1" customWidth="1"/>
    <col min="21" max="21" width="18.140625" style="1" customWidth="1"/>
    <col min="22" max="22" width="18" style="1" customWidth="1"/>
    <col min="23" max="23" width="20.42578125" style="1" customWidth="1"/>
    <col min="24" max="24" width="18.28515625" style="1" customWidth="1"/>
    <col min="25" max="25" width="19.28515625" style="1" customWidth="1"/>
    <col min="26" max="26" width="19.7109375" style="1" customWidth="1"/>
    <col min="27" max="27" width="19.5703125" style="1" customWidth="1"/>
    <col min="28" max="28" width="18" style="1" customWidth="1"/>
    <col min="29" max="29" width="19.28515625" style="1" customWidth="1"/>
    <col min="30" max="30" width="19.140625" style="1" customWidth="1"/>
    <col min="31" max="31" width="19.28515625" style="1" customWidth="1"/>
    <col min="32" max="32" width="19" style="1" customWidth="1"/>
    <col min="33" max="33" width="21.85546875" style="1" customWidth="1"/>
    <col min="34" max="34" width="20.42578125" style="1" customWidth="1"/>
    <col min="35" max="35" width="18.42578125" style="1" customWidth="1"/>
    <col min="36" max="36" width="13.42578125" style="1" customWidth="1"/>
    <col min="37" max="37" width="13.7109375" style="1" customWidth="1"/>
    <col min="38" max="38" width="12.7109375" style="1" customWidth="1"/>
    <col min="39" max="39" width="13.42578125" style="1" customWidth="1"/>
    <col min="40" max="41" width="13.28515625" style="1" customWidth="1"/>
    <col min="42" max="42" width="13.7109375" style="1" customWidth="1"/>
    <col min="43" max="43" width="13.42578125" style="1" customWidth="1"/>
    <col min="44" max="44" width="12.7109375" style="1" customWidth="1"/>
    <col min="45" max="45" width="13.28515625" style="1" customWidth="1"/>
    <col min="46" max="46" width="12.7109375" style="1" customWidth="1"/>
    <col min="47" max="47" width="13.28515625" style="1" customWidth="1"/>
    <col min="48" max="48" width="12.42578125" style="1" customWidth="1"/>
    <col min="49" max="49" width="13.140625" style="1" customWidth="1"/>
    <col min="50" max="50" width="12.7109375" style="1" customWidth="1"/>
    <col min="51" max="51" width="14.140625" style="1" customWidth="1"/>
    <col min="52" max="52" width="12.7109375" style="1" customWidth="1"/>
    <col min="53" max="58" width="12.42578125" style="1" customWidth="1"/>
    <col min="59" max="87" width="11" style="1" customWidth="1"/>
    <col min="88" max="88" width="11.42578125" style="1" customWidth="1"/>
    <col min="89" max="96" width="11" style="1" customWidth="1"/>
    <col min="97" max="97" width="8.7109375" style="1" customWidth="1"/>
    <col min="98" max="16384" width="8.7109375" style="1"/>
  </cols>
  <sheetData>
    <row r="1" spans="1:50" ht="15" customHeight="1">
      <c r="A1" s="27"/>
      <c r="B1" s="35" t="s">
        <v>55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7"/>
    </row>
    <row r="2" spans="1:50" ht="15" customHeight="1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7"/>
    </row>
    <row r="3" spans="1:50" ht="15" customHeight="1">
      <c r="A3" s="31"/>
      <c r="B3" s="33"/>
      <c r="C3" s="34"/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14" t="s">
        <v>32</v>
      </c>
      <c r="N3" s="14" t="s">
        <v>33</v>
      </c>
      <c r="O3" s="14" t="s">
        <v>34</v>
      </c>
      <c r="P3" s="14" t="s">
        <v>35</v>
      </c>
      <c r="Q3" s="14" t="s">
        <v>36</v>
      </c>
      <c r="R3" s="14" t="s">
        <v>37</v>
      </c>
      <c r="S3" s="14" t="s">
        <v>38</v>
      </c>
      <c r="T3" s="14" t="s">
        <v>39</v>
      </c>
      <c r="U3" s="14" t="s">
        <v>40</v>
      </c>
      <c r="V3" s="14" t="s">
        <v>41</v>
      </c>
      <c r="W3" s="14" t="s">
        <v>42</v>
      </c>
      <c r="X3" s="14" t="s">
        <v>43</v>
      </c>
      <c r="Y3" s="14" t="s">
        <v>44</v>
      </c>
      <c r="Z3" s="14" t="s">
        <v>45</v>
      </c>
      <c r="AA3" s="14" t="s">
        <v>46</v>
      </c>
      <c r="AB3" s="14" t="s">
        <v>47</v>
      </c>
      <c r="AC3" s="14" t="s">
        <v>48</v>
      </c>
      <c r="AD3" s="14" t="s">
        <v>49</v>
      </c>
      <c r="AE3" s="14" t="s">
        <v>50</v>
      </c>
      <c r="AF3" s="14" t="s">
        <v>51</v>
      </c>
      <c r="AG3" s="14" t="s">
        <v>52</v>
      </c>
      <c r="AH3" s="14" t="s">
        <v>53</v>
      </c>
      <c r="AI3" s="14" t="s">
        <v>54</v>
      </c>
      <c r="AJ3" s="3" t="s">
        <v>0</v>
      </c>
    </row>
    <row r="4" spans="1:50" ht="15" customHeight="1">
      <c r="A4" s="31"/>
      <c r="B4" s="27" t="s">
        <v>1</v>
      </c>
      <c r="C4" s="28"/>
      <c r="D4" s="16">
        <v>2517</v>
      </c>
      <c r="E4" s="16">
        <v>1782</v>
      </c>
      <c r="F4" s="17">
        <v>2813</v>
      </c>
      <c r="G4" s="16">
        <v>2285</v>
      </c>
      <c r="H4" s="16">
        <v>2701</v>
      </c>
      <c r="I4" s="16">
        <v>2565</v>
      </c>
      <c r="J4" s="16">
        <v>3333</v>
      </c>
      <c r="K4" s="16">
        <v>2673</v>
      </c>
      <c r="L4" s="16">
        <v>2996</v>
      </c>
      <c r="M4" s="16">
        <v>2169</v>
      </c>
      <c r="N4" s="16">
        <v>2165</v>
      </c>
      <c r="O4" s="16">
        <v>2365</v>
      </c>
      <c r="P4" s="16">
        <v>2464</v>
      </c>
      <c r="Q4" s="16">
        <v>2534</v>
      </c>
      <c r="R4" s="16">
        <v>1891</v>
      </c>
      <c r="S4" s="16">
        <v>2015</v>
      </c>
      <c r="T4" s="16">
        <v>2315</v>
      </c>
      <c r="U4" s="16">
        <v>1855</v>
      </c>
      <c r="V4" s="16">
        <v>1606</v>
      </c>
      <c r="W4" s="16">
        <v>2094</v>
      </c>
      <c r="X4" s="16">
        <v>1780</v>
      </c>
      <c r="Y4" s="16">
        <v>1844</v>
      </c>
      <c r="Z4" s="16">
        <v>1667</v>
      </c>
      <c r="AA4" s="16">
        <v>2014</v>
      </c>
      <c r="AB4" s="16">
        <v>2037</v>
      </c>
      <c r="AC4" s="16">
        <v>2163</v>
      </c>
      <c r="AD4" s="16">
        <v>1861</v>
      </c>
      <c r="AE4" s="16">
        <v>1779</v>
      </c>
      <c r="AF4" s="16">
        <v>1758</v>
      </c>
      <c r="AG4" s="16">
        <v>1702</v>
      </c>
      <c r="AH4" s="16">
        <v>697</v>
      </c>
      <c r="AI4" s="16">
        <v>0</v>
      </c>
      <c r="AJ4" s="14">
        <f>SUM(D4:AI4)</f>
        <v>66440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</row>
    <row r="5" spans="1:50" ht="15" customHeight="1">
      <c r="A5" s="31"/>
      <c r="B5" s="27" t="s">
        <v>2</v>
      </c>
      <c r="C5" s="28"/>
      <c r="D5" s="16">
        <v>940</v>
      </c>
      <c r="E5" s="16">
        <v>234</v>
      </c>
      <c r="F5" s="16">
        <v>1015</v>
      </c>
      <c r="G5" s="16">
        <v>572</v>
      </c>
      <c r="H5" s="16">
        <v>951</v>
      </c>
      <c r="I5" s="16">
        <v>725</v>
      </c>
      <c r="J5" s="16">
        <v>1495</v>
      </c>
      <c r="K5" s="16">
        <v>1212</v>
      </c>
      <c r="L5" s="16">
        <v>1331</v>
      </c>
      <c r="M5" s="16">
        <v>689</v>
      </c>
      <c r="N5" s="16">
        <v>844</v>
      </c>
      <c r="O5" s="16">
        <v>1006</v>
      </c>
      <c r="P5" s="16">
        <v>1197</v>
      </c>
      <c r="Q5" s="16">
        <v>710</v>
      </c>
      <c r="R5" s="16">
        <v>506</v>
      </c>
      <c r="S5" s="16">
        <v>630</v>
      </c>
      <c r="T5" s="16">
        <v>862</v>
      </c>
      <c r="U5" s="16">
        <v>570</v>
      </c>
      <c r="V5" s="16">
        <v>429</v>
      </c>
      <c r="W5" s="16">
        <v>802</v>
      </c>
      <c r="X5" s="16">
        <v>509</v>
      </c>
      <c r="Y5" s="16">
        <v>524</v>
      </c>
      <c r="Z5" s="16">
        <v>442</v>
      </c>
      <c r="AA5" s="16">
        <v>712</v>
      </c>
      <c r="AB5" s="16">
        <v>843</v>
      </c>
      <c r="AC5" s="16">
        <v>894</v>
      </c>
      <c r="AD5" s="16">
        <v>629</v>
      </c>
      <c r="AE5" s="16">
        <v>623</v>
      </c>
      <c r="AF5" s="16">
        <v>464</v>
      </c>
      <c r="AG5" s="16">
        <v>487</v>
      </c>
      <c r="AH5" s="16">
        <v>677</v>
      </c>
      <c r="AI5" s="16">
        <v>0</v>
      </c>
      <c r="AJ5" s="14">
        <f t="shared" ref="AJ5:AJ11" si="0">SUM(D5:AI5)</f>
        <v>23524</v>
      </c>
    </row>
    <row r="6" spans="1:50" ht="15" customHeight="1">
      <c r="A6" s="31"/>
      <c r="B6" s="27" t="s">
        <v>3</v>
      </c>
      <c r="C6" s="28"/>
      <c r="D6" s="4">
        <f t="shared" ref="D6:L6" si="1">D5/D4</f>
        <v>0.37346046881207789</v>
      </c>
      <c r="E6" s="4">
        <f t="shared" si="1"/>
        <v>0.13131313131313133</v>
      </c>
      <c r="F6" s="4">
        <f t="shared" si="1"/>
        <v>0.36082474226804123</v>
      </c>
      <c r="G6" s="4">
        <f t="shared" si="1"/>
        <v>0.25032822757111595</v>
      </c>
      <c r="H6" s="4">
        <f t="shared" si="1"/>
        <v>0.35209181784524252</v>
      </c>
      <c r="I6" s="4">
        <f t="shared" si="1"/>
        <v>0.28265107212475632</v>
      </c>
      <c r="J6" s="4">
        <f t="shared" si="1"/>
        <v>0.44854485448544856</v>
      </c>
      <c r="K6" s="4">
        <f t="shared" si="1"/>
        <v>0.45342312008978675</v>
      </c>
      <c r="L6" s="4">
        <f t="shared" si="1"/>
        <v>0.44425901201602136</v>
      </c>
      <c r="M6" s="4">
        <f t="shared" ref="M6:R6" si="2">M5/M4</f>
        <v>0.31765790686952511</v>
      </c>
      <c r="N6" s="4">
        <f t="shared" si="2"/>
        <v>0.38983833718244804</v>
      </c>
      <c r="O6" s="4">
        <f t="shared" si="2"/>
        <v>0.42536997885835093</v>
      </c>
      <c r="P6" s="4">
        <f t="shared" si="2"/>
        <v>0.48579545454545453</v>
      </c>
      <c r="Q6" s="4">
        <f t="shared" si="2"/>
        <v>0.28018942383583267</v>
      </c>
      <c r="R6" s="4">
        <f t="shared" si="2"/>
        <v>0.26758328926493918</v>
      </c>
      <c r="S6" s="4">
        <f t="shared" ref="S6:AC6" si="3">S5/S4</f>
        <v>0.31265508684863524</v>
      </c>
      <c r="T6" s="4">
        <f t="shared" si="3"/>
        <v>0.37235421166306698</v>
      </c>
      <c r="U6" s="4">
        <f t="shared" si="3"/>
        <v>0.30727762803234504</v>
      </c>
      <c r="V6" s="4">
        <f t="shared" si="3"/>
        <v>0.26712328767123289</v>
      </c>
      <c r="W6" s="4">
        <f t="shared" si="3"/>
        <v>0.38299904489016234</v>
      </c>
      <c r="X6" s="4">
        <f t="shared" si="3"/>
        <v>0.28595505617977529</v>
      </c>
      <c r="Y6" s="4">
        <f t="shared" si="3"/>
        <v>0.2841648590021692</v>
      </c>
      <c r="Z6" s="4">
        <f t="shared" si="3"/>
        <v>0.26514697060587883</v>
      </c>
      <c r="AA6" s="4">
        <f t="shared" si="3"/>
        <v>0.35352532274081427</v>
      </c>
      <c r="AB6" s="4">
        <f t="shared" si="3"/>
        <v>0.41384388807069217</v>
      </c>
      <c r="AC6" s="4">
        <f t="shared" si="3"/>
        <v>0.4133148404993065</v>
      </c>
      <c r="AD6" s="4">
        <f t="shared" ref="AD6:AH6" si="4">AD5/AD4</f>
        <v>0.33799032778076304</v>
      </c>
      <c r="AE6" s="4">
        <f t="shared" si="4"/>
        <v>0.35019673974142779</v>
      </c>
      <c r="AF6" s="4">
        <f t="shared" si="4"/>
        <v>0.26393629124004553</v>
      </c>
      <c r="AG6" s="4">
        <f t="shared" si="4"/>
        <v>0.28613396004700353</v>
      </c>
      <c r="AH6" s="4">
        <f t="shared" si="4"/>
        <v>0.97130559540889527</v>
      </c>
      <c r="AI6" s="4"/>
      <c r="AJ6" s="14">
        <f t="shared" si="0"/>
        <v>11.131253947504387</v>
      </c>
    </row>
    <row r="7" spans="1:50" ht="15" customHeight="1">
      <c r="A7" s="32"/>
      <c r="B7" s="2" t="s">
        <v>4</v>
      </c>
      <c r="C7" s="5" t="s">
        <v>5</v>
      </c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14">
        <f t="shared" si="0"/>
        <v>0</v>
      </c>
    </row>
    <row r="8" spans="1:50" ht="15" customHeight="1">
      <c r="A8" s="25">
        <v>1</v>
      </c>
      <c r="B8" s="26" t="s">
        <v>22</v>
      </c>
      <c r="C8" s="21" t="s">
        <v>16</v>
      </c>
      <c r="D8" s="17">
        <v>173</v>
      </c>
      <c r="E8" s="16">
        <v>83</v>
      </c>
      <c r="F8" s="16">
        <v>42</v>
      </c>
      <c r="G8" s="17">
        <v>116</v>
      </c>
      <c r="H8" s="16">
        <v>112</v>
      </c>
      <c r="I8" s="16">
        <v>156</v>
      </c>
      <c r="J8" s="16">
        <v>36</v>
      </c>
      <c r="K8" s="16">
        <v>74</v>
      </c>
      <c r="L8" s="16">
        <v>82</v>
      </c>
      <c r="M8" s="16">
        <v>131</v>
      </c>
      <c r="N8" s="16">
        <v>10</v>
      </c>
      <c r="O8" s="16">
        <v>153</v>
      </c>
      <c r="P8" s="16">
        <v>141</v>
      </c>
      <c r="Q8" s="16">
        <v>163</v>
      </c>
      <c r="R8" s="16">
        <v>151</v>
      </c>
      <c r="S8" s="16">
        <v>114</v>
      </c>
      <c r="T8" s="16">
        <v>171</v>
      </c>
      <c r="U8" s="16">
        <v>122</v>
      </c>
      <c r="V8" s="16">
        <v>121</v>
      </c>
      <c r="W8" s="16">
        <v>117</v>
      </c>
      <c r="X8" s="16">
        <v>89</v>
      </c>
      <c r="Y8" s="16">
        <v>107</v>
      </c>
      <c r="Z8" s="16">
        <v>126</v>
      </c>
      <c r="AA8" s="16">
        <v>166</v>
      </c>
      <c r="AB8" s="16">
        <v>35</v>
      </c>
      <c r="AC8" s="16">
        <v>170</v>
      </c>
      <c r="AD8" s="16">
        <v>120</v>
      </c>
      <c r="AE8" s="16">
        <v>98</v>
      </c>
      <c r="AF8" s="16">
        <v>86</v>
      </c>
      <c r="AG8" s="16">
        <v>91</v>
      </c>
      <c r="AH8" s="16">
        <v>63</v>
      </c>
      <c r="AI8" s="16">
        <v>0</v>
      </c>
      <c r="AJ8" s="14">
        <f t="shared" si="0"/>
        <v>3419</v>
      </c>
    </row>
    <row r="9" spans="1:50" ht="15" customHeight="1">
      <c r="A9" s="25">
        <v>2</v>
      </c>
      <c r="B9" s="23" t="s">
        <v>17</v>
      </c>
      <c r="C9" s="21" t="s">
        <v>20</v>
      </c>
      <c r="D9" s="16">
        <v>655</v>
      </c>
      <c r="E9" s="17">
        <v>123</v>
      </c>
      <c r="F9" s="16">
        <v>950</v>
      </c>
      <c r="G9" s="16">
        <v>409</v>
      </c>
      <c r="H9" s="16">
        <v>799</v>
      </c>
      <c r="I9" s="16">
        <v>512</v>
      </c>
      <c r="J9" s="16">
        <v>1417</v>
      </c>
      <c r="K9" s="16">
        <v>1057</v>
      </c>
      <c r="L9" s="16">
        <v>1224</v>
      </c>
      <c r="M9" s="16">
        <v>470</v>
      </c>
      <c r="N9" s="16">
        <v>811</v>
      </c>
      <c r="O9" s="16">
        <v>774</v>
      </c>
      <c r="P9" s="16">
        <v>982</v>
      </c>
      <c r="Q9" s="16">
        <v>514</v>
      </c>
      <c r="R9" s="16">
        <v>298</v>
      </c>
      <c r="S9" s="16">
        <v>449</v>
      </c>
      <c r="T9" s="16">
        <v>609</v>
      </c>
      <c r="U9" s="16">
        <v>375</v>
      </c>
      <c r="V9" s="16">
        <v>243</v>
      </c>
      <c r="W9" s="16">
        <v>634</v>
      </c>
      <c r="X9" s="16">
        <v>376</v>
      </c>
      <c r="Y9" s="16">
        <v>362</v>
      </c>
      <c r="Z9" s="16">
        <v>268</v>
      </c>
      <c r="AA9" s="16">
        <v>466</v>
      </c>
      <c r="AB9" s="16">
        <v>778</v>
      </c>
      <c r="AC9" s="16">
        <v>640</v>
      </c>
      <c r="AD9" s="16">
        <v>446</v>
      </c>
      <c r="AE9" s="16">
        <v>446</v>
      </c>
      <c r="AF9" s="16">
        <v>332</v>
      </c>
      <c r="AG9" s="16">
        <v>348</v>
      </c>
      <c r="AH9" s="16">
        <v>552</v>
      </c>
      <c r="AI9" s="16">
        <v>0</v>
      </c>
      <c r="AJ9" s="14">
        <f t="shared" si="0"/>
        <v>18319</v>
      </c>
    </row>
    <row r="10" spans="1:50" ht="15" customHeight="1">
      <c r="A10" s="25">
        <v>3</v>
      </c>
      <c r="B10" s="23" t="s">
        <v>18</v>
      </c>
      <c r="C10" s="21" t="s">
        <v>21</v>
      </c>
      <c r="D10" s="16">
        <v>27</v>
      </c>
      <c r="E10" s="16">
        <v>7</v>
      </c>
      <c r="F10" s="16">
        <v>16</v>
      </c>
      <c r="G10" s="17">
        <v>16</v>
      </c>
      <c r="H10" s="17">
        <v>10</v>
      </c>
      <c r="I10" s="16">
        <v>22</v>
      </c>
      <c r="J10" s="16">
        <v>13</v>
      </c>
      <c r="K10" s="16">
        <v>21</v>
      </c>
      <c r="L10" s="16">
        <v>7</v>
      </c>
      <c r="M10" s="16">
        <v>21</v>
      </c>
      <c r="N10" s="16">
        <v>7</v>
      </c>
      <c r="O10" s="16">
        <v>19</v>
      </c>
      <c r="P10" s="16">
        <v>24</v>
      </c>
      <c r="Q10" s="16">
        <v>18</v>
      </c>
      <c r="R10" s="16">
        <v>16</v>
      </c>
      <c r="S10" s="16">
        <v>15</v>
      </c>
      <c r="T10" s="16">
        <v>23</v>
      </c>
      <c r="U10" s="16">
        <v>26</v>
      </c>
      <c r="V10" s="16">
        <v>17</v>
      </c>
      <c r="W10" s="16">
        <v>12</v>
      </c>
      <c r="X10" s="16">
        <v>14</v>
      </c>
      <c r="Y10" s="16">
        <v>17</v>
      </c>
      <c r="Z10" s="16">
        <v>18</v>
      </c>
      <c r="AA10" s="16">
        <v>25</v>
      </c>
      <c r="AB10" s="16">
        <v>15</v>
      </c>
      <c r="AC10" s="16">
        <v>21</v>
      </c>
      <c r="AD10" s="16">
        <v>21</v>
      </c>
      <c r="AE10" s="16">
        <v>23</v>
      </c>
      <c r="AF10" s="16">
        <v>6</v>
      </c>
      <c r="AG10" s="16">
        <v>14</v>
      </c>
      <c r="AH10" s="16">
        <v>43</v>
      </c>
      <c r="AI10" s="16">
        <v>0</v>
      </c>
      <c r="AJ10" s="14">
        <f t="shared" si="0"/>
        <v>554</v>
      </c>
    </row>
    <row r="11" spans="1:50" ht="15" customHeight="1">
      <c r="A11" s="25">
        <v>4</v>
      </c>
      <c r="B11" s="23" t="s">
        <v>19</v>
      </c>
      <c r="C11" s="21" t="s">
        <v>15</v>
      </c>
      <c r="D11" s="17">
        <v>85</v>
      </c>
      <c r="E11" s="16">
        <v>21</v>
      </c>
      <c r="F11" s="16">
        <v>7</v>
      </c>
      <c r="G11" s="16">
        <v>31</v>
      </c>
      <c r="H11" s="16">
        <v>30</v>
      </c>
      <c r="I11" s="16">
        <v>35</v>
      </c>
      <c r="J11" s="16">
        <v>29</v>
      </c>
      <c r="K11" s="16">
        <v>60</v>
      </c>
      <c r="L11" s="16">
        <v>18</v>
      </c>
      <c r="M11" s="16">
        <v>67</v>
      </c>
      <c r="N11" s="16">
        <v>16</v>
      </c>
      <c r="O11" s="16">
        <v>60</v>
      </c>
      <c r="P11" s="16">
        <v>50</v>
      </c>
      <c r="Q11" s="16">
        <v>15</v>
      </c>
      <c r="R11" s="16">
        <v>41</v>
      </c>
      <c r="S11" s="16">
        <v>52</v>
      </c>
      <c r="T11" s="16">
        <v>59</v>
      </c>
      <c r="U11" s="16">
        <v>47</v>
      </c>
      <c r="V11" s="16">
        <v>48</v>
      </c>
      <c r="W11" s="16">
        <v>39</v>
      </c>
      <c r="X11" s="16">
        <v>30</v>
      </c>
      <c r="Y11" s="16">
        <v>38</v>
      </c>
      <c r="Z11" s="16">
        <v>30</v>
      </c>
      <c r="AA11" s="16">
        <v>55</v>
      </c>
      <c r="AB11" s="16">
        <v>15</v>
      </c>
      <c r="AC11" s="16">
        <v>63</v>
      </c>
      <c r="AD11" s="16">
        <v>42</v>
      </c>
      <c r="AE11" s="16">
        <v>56</v>
      </c>
      <c r="AF11" s="16">
        <v>40</v>
      </c>
      <c r="AG11" s="16">
        <v>34</v>
      </c>
      <c r="AH11" s="16">
        <v>19</v>
      </c>
      <c r="AI11" s="16">
        <v>0</v>
      </c>
      <c r="AJ11" s="14">
        <f t="shared" si="0"/>
        <v>1232</v>
      </c>
    </row>
    <row r="12" spans="1:50" ht="15" customHeight="1">
      <c r="A12" s="38" t="s">
        <v>6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/>
    </row>
    <row r="13" spans="1:50" ht="15" customHeight="1">
      <c r="A13" s="20"/>
      <c r="B13" s="41" t="s">
        <v>4</v>
      </c>
      <c r="C13" s="41" t="s">
        <v>5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40"/>
    </row>
    <row r="14" spans="1:50" ht="15" customHeight="1">
      <c r="A14" s="20">
        <v>1</v>
      </c>
      <c r="B14" s="22" t="s">
        <v>22</v>
      </c>
      <c r="C14" s="21" t="s">
        <v>16</v>
      </c>
      <c r="D14" s="18">
        <f t="shared" ref="D14:L14" si="5">D8/D5</f>
        <v>0.18404255319148935</v>
      </c>
      <c r="E14" s="18">
        <f t="shared" si="5"/>
        <v>0.35470085470085472</v>
      </c>
      <c r="F14" s="18">
        <f t="shared" si="5"/>
        <v>4.1379310344827586E-2</v>
      </c>
      <c r="G14" s="18">
        <f t="shared" si="5"/>
        <v>0.20279720279720279</v>
      </c>
      <c r="H14" s="18">
        <f t="shared" si="5"/>
        <v>0.11777076761303891</v>
      </c>
      <c r="I14" s="18">
        <f t="shared" si="5"/>
        <v>0.21517241379310345</v>
      </c>
      <c r="J14" s="18">
        <f t="shared" si="5"/>
        <v>2.4080267558528427E-2</v>
      </c>
      <c r="K14" s="18">
        <f t="shared" si="5"/>
        <v>6.1056105610561059E-2</v>
      </c>
      <c r="L14" s="18">
        <f t="shared" si="5"/>
        <v>6.1607813673929375E-2</v>
      </c>
      <c r="M14" s="18">
        <f t="shared" ref="M14:AJ14" si="6">M8/M5</f>
        <v>0.19013062409288825</v>
      </c>
      <c r="N14" s="18">
        <f t="shared" si="6"/>
        <v>1.1848341232227487E-2</v>
      </c>
      <c r="O14" s="18">
        <f t="shared" si="6"/>
        <v>0.15208747514910537</v>
      </c>
      <c r="P14" s="18">
        <f t="shared" si="6"/>
        <v>0.11779448621553884</v>
      </c>
      <c r="Q14" s="18">
        <f t="shared" si="6"/>
        <v>0.22957746478873239</v>
      </c>
      <c r="R14" s="18">
        <f t="shared" si="6"/>
        <v>0.29841897233201581</v>
      </c>
      <c r="S14" s="18">
        <f t="shared" si="6"/>
        <v>0.18095238095238095</v>
      </c>
      <c r="T14" s="18">
        <f t="shared" si="6"/>
        <v>0.19837587006960558</v>
      </c>
      <c r="U14" s="18">
        <f t="shared" si="6"/>
        <v>0.21403508771929824</v>
      </c>
      <c r="V14" s="18">
        <f t="shared" si="6"/>
        <v>0.28205128205128205</v>
      </c>
      <c r="W14" s="18">
        <f t="shared" si="6"/>
        <v>0.14588528678304238</v>
      </c>
      <c r="X14" s="18">
        <f t="shared" si="6"/>
        <v>0.17485265225933203</v>
      </c>
      <c r="Y14" s="18">
        <f t="shared" si="6"/>
        <v>0.20419847328244276</v>
      </c>
      <c r="Z14" s="18">
        <f t="shared" si="6"/>
        <v>0.28506787330316741</v>
      </c>
      <c r="AA14" s="18">
        <f t="shared" si="6"/>
        <v>0.23314606741573032</v>
      </c>
      <c r="AB14" s="18">
        <f t="shared" si="6"/>
        <v>4.151838671411625E-2</v>
      </c>
      <c r="AC14" s="18">
        <f t="shared" si="6"/>
        <v>0.19015659955257272</v>
      </c>
      <c r="AD14" s="18">
        <f t="shared" si="6"/>
        <v>0.19077901430842609</v>
      </c>
      <c r="AE14" s="18">
        <f t="shared" si="6"/>
        <v>0.15730337078651685</v>
      </c>
      <c r="AF14" s="18">
        <f t="shared" si="6"/>
        <v>0.18534482758620691</v>
      </c>
      <c r="AG14" s="18">
        <f t="shared" si="6"/>
        <v>0.18685831622176591</v>
      </c>
      <c r="AH14" s="18">
        <f t="shared" si="6"/>
        <v>9.3057607090103397E-2</v>
      </c>
      <c r="AI14" s="18">
        <v>0</v>
      </c>
      <c r="AJ14" s="18">
        <f t="shared" si="6"/>
        <v>0.1453409284135351</v>
      </c>
    </row>
    <row r="15" spans="1:50" ht="15" customHeight="1">
      <c r="A15" s="20">
        <v>2</v>
      </c>
      <c r="B15" s="23" t="s">
        <v>17</v>
      </c>
      <c r="C15" s="19" t="s">
        <v>20</v>
      </c>
      <c r="D15" s="8">
        <f>D9/D5</f>
        <v>0.69680851063829785</v>
      </c>
      <c r="E15" s="8">
        <f t="shared" ref="E15:L15" si="7">E9/E5</f>
        <v>0.52564102564102566</v>
      </c>
      <c r="F15" s="8">
        <f t="shared" si="7"/>
        <v>0.93596059113300489</v>
      </c>
      <c r="G15" s="8">
        <f t="shared" si="7"/>
        <v>0.715034965034965</v>
      </c>
      <c r="H15" s="8">
        <f t="shared" si="7"/>
        <v>0.84016824395373291</v>
      </c>
      <c r="I15" s="8">
        <f t="shared" si="7"/>
        <v>0.70620689655172408</v>
      </c>
      <c r="J15" s="8">
        <f t="shared" si="7"/>
        <v>0.94782608695652171</v>
      </c>
      <c r="K15" s="8">
        <f t="shared" si="7"/>
        <v>0.87211221122112215</v>
      </c>
      <c r="L15" s="8">
        <f t="shared" si="7"/>
        <v>0.91960931630353115</v>
      </c>
      <c r="M15" s="8">
        <f t="shared" ref="M15:AJ15" si="8">M9/M5</f>
        <v>0.68214804063860668</v>
      </c>
      <c r="N15" s="8">
        <f t="shared" si="8"/>
        <v>0.9609004739336493</v>
      </c>
      <c r="O15" s="8">
        <f t="shared" si="8"/>
        <v>0.76938369781312133</v>
      </c>
      <c r="P15" s="8">
        <f t="shared" si="8"/>
        <v>0.82038429406850455</v>
      </c>
      <c r="Q15" s="8">
        <f t="shared" si="8"/>
        <v>0.72394366197183102</v>
      </c>
      <c r="R15" s="8">
        <f t="shared" si="8"/>
        <v>0.58893280632411071</v>
      </c>
      <c r="S15" s="8">
        <f t="shared" si="8"/>
        <v>0.71269841269841272</v>
      </c>
      <c r="T15" s="8">
        <f t="shared" si="8"/>
        <v>0.70649651972157768</v>
      </c>
      <c r="U15" s="8">
        <f t="shared" si="8"/>
        <v>0.65789473684210531</v>
      </c>
      <c r="V15" s="8">
        <f t="shared" si="8"/>
        <v>0.56643356643356646</v>
      </c>
      <c r="W15" s="8">
        <f t="shared" si="8"/>
        <v>0.79052369077306728</v>
      </c>
      <c r="X15" s="8">
        <f t="shared" si="8"/>
        <v>0.73870333988212178</v>
      </c>
      <c r="Y15" s="8">
        <f t="shared" si="8"/>
        <v>0.69083969465648853</v>
      </c>
      <c r="Z15" s="8">
        <f t="shared" si="8"/>
        <v>0.60633484162895923</v>
      </c>
      <c r="AA15" s="8">
        <f t="shared" si="8"/>
        <v>0.6544943820224719</v>
      </c>
      <c r="AB15" s="8">
        <f t="shared" si="8"/>
        <v>0.92289442467378413</v>
      </c>
      <c r="AC15" s="8">
        <f t="shared" si="8"/>
        <v>0.71588366890380317</v>
      </c>
      <c r="AD15" s="8">
        <f t="shared" si="8"/>
        <v>0.70906200317965029</v>
      </c>
      <c r="AE15" s="8">
        <f t="shared" si="8"/>
        <v>0.7158908507223114</v>
      </c>
      <c r="AF15" s="8">
        <f t="shared" si="8"/>
        <v>0.71551724137931039</v>
      </c>
      <c r="AG15" s="8">
        <f t="shared" si="8"/>
        <v>0.71457905544147848</v>
      </c>
      <c r="AH15" s="8">
        <f t="shared" si="8"/>
        <v>0.81536189069423926</v>
      </c>
      <c r="AI15" s="8">
        <v>0</v>
      </c>
      <c r="AJ15" s="8">
        <f t="shared" si="8"/>
        <v>0.77873660942016665</v>
      </c>
    </row>
    <row r="16" spans="1:50" ht="15" customHeight="1">
      <c r="A16" s="20">
        <v>3</v>
      </c>
      <c r="B16" s="23" t="s">
        <v>18</v>
      </c>
      <c r="C16" s="19" t="s">
        <v>21</v>
      </c>
      <c r="D16" s="8">
        <f>D10/D5</f>
        <v>2.8723404255319149E-2</v>
      </c>
      <c r="E16" s="8">
        <f t="shared" ref="E16:L16" si="9">E10/E5</f>
        <v>2.9914529914529916E-2</v>
      </c>
      <c r="F16" s="8">
        <f t="shared" si="9"/>
        <v>1.5763546798029555E-2</v>
      </c>
      <c r="G16" s="8">
        <f t="shared" si="9"/>
        <v>2.7972027972027972E-2</v>
      </c>
      <c r="H16" s="8">
        <f t="shared" si="9"/>
        <v>1.0515247108307046E-2</v>
      </c>
      <c r="I16" s="8">
        <f t="shared" si="9"/>
        <v>3.0344827586206897E-2</v>
      </c>
      <c r="J16" s="8">
        <f t="shared" si="9"/>
        <v>8.6956521739130436E-3</v>
      </c>
      <c r="K16" s="8">
        <f t="shared" si="9"/>
        <v>1.7326732673267328E-2</v>
      </c>
      <c r="L16" s="8">
        <f t="shared" si="9"/>
        <v>5.2592036063110444E-3</v>
      </c>
      <c r="M16" s="8">
        <f t="shared" ref="M16:AJ16" si="10">M10/M5</f>
        <v>3.0478955007256895E-2</v>
      </c>
      <c r="N16" s="8">
        <f t="shared" si="10"/>
        <v>8.2938388625592423E-3</v>
      </c>
      <c r="O16" s="8">
        <f t="shared" si="10"/>
        <v>1.8886679920477135E-2</v>
      </c>
      <c r="P16" s="8">
        <f t="shared" si="10"/>
        <v>2.0050125313283207E-2</v>
      </c>
      <c r="Q16" s="8">
        <f t="shared" si="10"/>
        <v>2.5352112676056339E-2</v>
      </c>
      <c r="R16" s="8">
        <f t="shared" si="10"/>
        <v>3.1620553359683792E-2</v>
      </c>
      <c r="S16" s="8">
        <f t="shared" si="10"/>
        <v>2.3809523809523808E-2</v>
      </c>
      <c r="T16" s="8">
        <f t="shared" si="10"/>
        <v>2.668213457076566E-2</v>
      </c>
      <c r="U16" s="8">
        <f t="shared" si="10"/>
        <v>4.5614035087719301E-2</v>
      </c>
      <c r="V16" s="8">
        <f t="shared" si="10"/>
        <v>3.9627039627039624E-2</v>
      </c>
      <c r="W16" s="8">
        <f t="shared" si="10"/>
        <v>1.4962593516209476E-2</v>
      </c>
      <c r="X16" s="8">
        <f t="shared" si="10"/>
        <v>2.75049115913556E-2</v>
      </c>
      <c r="Y16" s="8">
        <f t="shared" si="10"/>
        <v>3.2442748091603052E-2</v>
      </c>
      <c r="Z16" s="8">
        <f t="shared" si="10"/>
        <v>4.072398190045249E-2</v>
      </c>
      <c r="AA16" s="8">
        <f t="shared" si="10"/>
        <v>3.51123595505618E-2</v>
      </c>
      <c r="AB16" s="8">
        <f t="shared" si="10"/>
        <v>1.7793594306049824E-2</v>
      </c>
      <c r="AC16" s="8">
        <f t="shared" si="10"/>
        <v>2.3489932885906041E-2</v>
      </c>
      <c r="AD16" s="8">
        <f t="shared" si="10"/>
        <v>3.3386327503974564E-2</v>
      </c>
      <c r="AE16" s="8">
        <f t="shared" si="10"/>
        <v>3.691813804173355E-2</v>
      </c>
      <c r="AF16" s="8">
        <f t="shared" si="10"/>
        <v>1.2931034482758621E-2</v>
      </c>
      <c r="AG16" s="8">
        <f t="shared" si="10"/>
        <v>2.8747433264887063E-2</v>
      </c>
      <c r="AH16" s="8">
        <f t="shared" si="10"/>
        <v>6.3515509601181686E-2</v>
      </c>
      <c r="AI16" s="8">
        <v>0</v>
      </c>
      <c r="AJ16" s="8">
        <f t="shared" si="10"/>
        <v>2.3550416595817039E-2</v>
      </c>
    </row>
    <row r="17" spans="1:36" ht="15" customHeight="1">
      <c r="A17" s="20">
        <v>4</v>
      </c>
      <c r="B17" s="23" t="s">
        <v>19</v>
      </c>
      <c r="C17" s="19" t="s">
        <v>15</v>
      </c>
      <c r="D17" s="8">
        <f>D11/D5</f>
        <v>9.0425531914893623E-2</v>
      </c>
      <c r="E17" s="8">
        <f t="shared" ref="E17:L17" si="11">E11/E5</f>
        <v>8.9743589743589744E-2</v>
      </c>
      <c r="F17" s="8">
        <f t="shared" si="11"/>
        <v>6.8965517241379309E-3</v>
      </c>
      <c r="G17" s="8">
        <f t="shared" si="11"/>
        <v>5.4195804195804193E-2</v>
      </c>
      <c r="H17" s="8">
        <f t="shared" si="11"/>
        <v>3.1545741324921134E-2</v>
      </c>
      <c r="I17" s="8">
        <f t="shared" si="11"/>
        <v>4.8275862068965517E-2</v>
      </c>
      <c r="J17" s="8">
        <f t="shared" si="11"/>
        <v>1.9397993311036789E-2</v>
      </c>
      <c r="K17" s="8">
        <f t="shared" si="11"/>
        <v>4.9504950495049507E-2</v>
      </c>
      <c r="L17" s="8">
        <f t="shared" si="11"/>
        <v>1.3523666416228399E-2</v>
      </c>
      <c r="M17" s="8">
        <f t="shared" ref="M17:AJ17" si="12">M11/M5</f>
        <v>9.7242380261248179E-2</v>
      </c>
      <c r="N17" s="8">
        <f t="shared" si="12"/>
        <v>1.8957345971563982E-2</v>
      </c>
      <c r="O17" s="8">
        <f t="shared" si="12"/>
        <v>5.9642147117296221E-2</v>
      </c>
      <c r="P17" s="8">
        <f t="shared" si="12"/>
        <v>4.1771094402673348E-2</v>
      </c>
      <c r="Q17" s="8">
        <f t="shared" si="12"/>
        <v>2.1126760563380281E-2</v>
      </c>
      <c r="R17" s="8">
        <f t="shared" si="12"/>
        <v>8.1027667984189727E-2</v>
      </c>
      <c r="S17" s="8">
        <f t="shared" si="12"/>
        <v>8.2539682539682538E-2</v>
      </c>
      <c r="T17" s="8">
        <f t="shared" si="12"/>
        <v>6.8445475638051048E-2</v>
      </c>
      <c r="U17" s="8">
        <f t="shared" si="12"/>
        <v>8.24561403508772E-2</v>
      </c>
      <c r="V17" s="8">
        <f t="shared" si="12"/>
        <v>0.11188811188811189</v>
      </c>
      <c r="W17" s="8">
        <f t="shared" si="12"/>
        <v>4.8628428927680795E-2</v>
      </c>
      <c r="X17" s="8">
        <f t="shared" si="12"/>
        <v>5.8939096267190572E-2</v>
      </c>
      <c r="Y17" s="8">
        <f t="shared" si="12"/>
        <v>7.2519083969465645E-2</v>
      </c>
      <c r="Z17" s="8">
        <f t="shared" si="12"/>
        <v>6.7873303167420809E-2</v>
      </c>
      <c r="AA17" s="8">
        <f t="shared" si="12"/>
        <v>7.7247191011235949E-2</v>
      </c>
      <c r="AB17" s="8">
        <f t="shared" si="12"/>
        <v>1.7793594306049824E-2</v>
      </c>
      <c r="AC17" s="8">
        <f t="shared" si="12"/>
        <v>7.0469798657718116E-2</v>
      </c>
      <c r="AD17" s="8">
        <f t="shared" si="12"/>
        <v>6.6772655007949128E-2</v>
      </c>
      <c r="AE17" s="8">
        <f t="shared" si="12"/>
        <v>8.98876404494382E-2</v>
      </c>
      <c r="AF17" s="8">
        <f t="shared" si="12"/>
        <v>8.6206896551724144E-2</v>
      </c>
      <c r="AG17" s="8">
        <f t="shared" si="12"/>
        <v>6.9815195071868577E-2</v>
      </c>
      <c r="AH17" s="8">
        <f t="shared" si="12"/>
        <v>2.8064992614475627E-2</v>
      </c>
      <c r="AI17" s="8">
        <v>0</v>
      </c>
      <c r="AJ17" s="8">
        <f t="shared" si="12"/>
        <v>5.237204557048121E-2</v>
      </c>
    </row>
    <row r="18" spans="1:36" ht="15" customHeight="1">
      <c r="B18" s="24"/>
      <c r="E18" s="7"/>
    </row>
    <row r="19" spans="1:36" ht="15" customHeight="1">
      <c r="A19" s="30" t="s">
        <v>7</v>
      </c>
      <c r="B19" s="29"/>
      <c r="C19" s="29"/>
      <c r="D19" s="28"/>
      <c r="E19" s="7"/>
      <c r="G19" s="10"/>
      <c r="H19" s="11"/>
    </row>
    <row r="20" spans="1:36" ht="15" customHeight="1">
      <c r="A20" s="9" t="s">
        <v>8</v>
      </c>
      <c r="B20" s="9" t="s">
        <v>9</v>
      </c>
      <c r="C20" s="9" t="s">
        <v>10</v>
      </c>
      <c r="D20" s="9" t="s">
        <v>11</v>
      </c>
      <c r="E20" s="7"/>
      <c r="G20" s="12" t="s">
        <v>12</v>
      </c>
      <c r="H20" s="12" t="s">
        <v>13</v>
      </c>
    </row>
    <row r="21" spans="1:36" ht="15" customHeight="1">
      <c r="A21" s="13">
        <f>_xlfn.STDEV.P(D6:L6)</f>
        <v>0.10107482965801895</v>
      </c>
      <c r="B21" s="13">
        <f>AVERAGE(D6:L6)</f>
        <v>0.34409960516951354</v>
      </c>
      <c r="C21" s="13">
        <f>B21-A21</f>
        <v>0.2430247755114946</v>
      </c>
      <c r="D21" s="13">
        <f>B21+A21</f>
        <v>0.44517443482753249</v>
      </c>
    </row>
    <row r="22" spans="1:36" ht="15" customHeight="1">
      <c r="A22" s="30" t="s">
        <v>6</v>
      </c>
      <c r="B22" s="29"/>
      <c r="C22" s="29"/>
      <c r="D22" s="29"/>
      <c r="E22" s="28"/>
    </row>
    <row r="23" spans="1:36" ht="15" customHeight="1">
      <c r="A23" s="9" t="s">
        <v>14</v>
      </c>
      <c r="B23" s="9" t="s">
        <v>8</v>
      </c>
      <c r="C23" s="9" t="s">
        <v>9</v>
      </c>
      <c r="D23" s="9" t="s">
        <v>10</v>
      </c>
      <c r="E23" s="9" t="s">
        <v>11</v>
      </c>
    </row>
    <row r="24" spans="1:36" ht="15" customHeight="1">
      <c r="A24" s="22" t="s">
        <v>22</v>
      </c>
      <c r="B24" s="8">
        <f>_xlfn.STDEV.P(D14:L14)</f>
        <v>0.10201572076845504</v>
      </c>
      <c r="C24" s="8">
        <f>AVERAGE(D14:L14)</f>
        <v>0.14028969880928172</v>
      </c>
      <c r="D24" s="8">
        <f>C24-B24</f>
        <v>3.8273978040826676E-2</v>
      </c>
      <c r="E24" s="8">
        <f>C24+B24</f>
        <v>0.24230541957773677</v>
      </c>
    </row>
    <row r="25" spans="1:36" ht="15" customHeight="1">
      <c r="A25" s="23" t="s">
        <v>17</v>
      </c>
      <c r="B25" s="8">
        <f>_xlfn.STDEV.P(D15:L15)</f>
        <v>0.13466500580565233</v>
      </c>
      <c r="C25" s="8">
        <f>AVERAGE(D15:L15)</f>
        <v>0.7954853163815474</v>
      </c>
      <c r="D25" s="8">
        <f>C25-B25</f>
        <v>0.66082031057589508</v>
      </c>
      <c r="E25" s="8">
        <f>C25+B25</f>
        <v>0.93015032218719973</v>
      </c>
    </row>
    <row r="26" spans="1:36" ht="15" customHeight="1">
      <c r="A26" s="23" t="s">
        <v>18</v>
      </c>
      <c r="B26" s="8">
        <f>_xlfn.STDEV.P(D16:L16)</f>
        <v>9.4384295387435323E-3</v>
      </c>
      <c r="C26" s="8">
        <f>AVERAGE(D16:L16)</f>
        <v>1.9390574676434662E-2</v>
      </c>
      <c r="D26" s="8">
        <f>C26-B26</f>
        <v>9.9521451376911301E-3</v>
      </c>
      <c r="E26" s="8">
        <f>C26+B26</f>
        <v>2.8829004215178193E-2</v>
      </c>
    </row>
    <row r="27" spans="1:36" ht="15" customHeight="1">
      <c r="A27" s="23" t="s">
        <v>19</v>
      </c>
      <c r="B27" s="8">
        <f>_xlfn.STDEV.P(D17:L17)</f>
        <v>2.8790279664242295E-2</v>
      </c>
      <c r="C27" s="8">
        <f>AVERAGE(D17:L17)</f>
        <v>4.4834410132736313E-2</v>
      </c>
      <c r="D27" s="8">
        <f>C27-B27</f>
        <v>1.6044130468494018E-2</v>
      </c>
      <c r="E27" s="8">
        <f>C27+B27</f>
        <v>7.3624689796978615E-2</v>
      </c>
    </row>
    <row r="28" spans="1:36" ht="15" customHeight="1"/>
    <row r="29" spans="1:36" ht="15" customHeight="1"/>
    <row r="30" spans="1:36" ht="49.9" customHeight="1"/>
    <row r="31" spans="1:36" ht="49.9" customHeight="1"/>
    <row r="32" spans="1:36" ht="49.9" customHeight="1"/>
    <row r="33" ht="49.9" customHeight="1"/>
    <row r="34" ht="49.9" customHeight="1"/>
    <row r="63" ht="55.15" customHeight="1"/>
    <row r="64" ht="27.6" customHeight="1"/>
    <row r="66" ht="55.15" customHeight="1"/>
  </sheetData>
  <mergeCells count="11">
    <mergeCell ref="B6:C6"/>
    <mergeCell ref="A19:D19"/>
    <mergeCell ref="A22:E22"/>
    <mergeCell ref="A1:A7"/>
    <mergeCell ref="B3:C3"/>
    <mergeCell ref="B4:C4"/>
    <mergeCell ref="B5:C5"/>
    <mergeCell ref="B1:AJ1"/>
    <mergeCell ref="B2:AJ2"/>
    <mergeCell ref="A12:AJ12"/>
    <mergeCell ref="D13:AJ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Мещанский одномандат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Осипов</cp:lastModifiedBy>
  <dcterms:created xsi:type="dcterms:W3CDTF">2026-03-04T02:42:00Z</dcterms:created>
  <dcterms:modified xsi:type="dcterms:W3CDTF">2026-03-11T20:50:43Z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8A290DE2AAEB4A3EA8A69DE26DB8B44E_13</vt:lpwstr>
  </property>
  <property fmtid="{D5CDD505-2E9C-101B-9397-08002B2CF9AE}" pid="3" name="KSOProductBuildVer">
    <vt:lpwstr>1049-12.2.0.23196</vt:lpwstr>
  </property>
</Properties>
</file>