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aksim\Desktop\Новые Люди\"/>
    </mc:Choice>
  </mc:AlternateContent>
  <xr:revisionPtr revIDLastSave="0" documentId="13_ncr:1_{84B96A12-FDDD-4063-B1AF-C033F4942C42}" xr6:coauthVersionLast="47" xr6:coauthVersionMax="47" xr10:uidLastSave="{00000000-0000-0000-0000-000000000000}"/>
  <bookViews>
    <workbookView xWindow="1170" yWindow="2775" windowWidth="21600" windowHeight="11385" xr2:uid="{00000000-000D-0000-FFFF-FFFF00000000}"/>
  </bookViews>
  <sheets>
    <sheet name="Мещанский одноманда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1" l="1"/>
  <c r="F19" i="1"/>
  <c r="G19" i="1"/>
  <c r="H19" i="1"/>
  <c r="I19" i="1"/>
  <c r="J19" i="1"/>
  <c r="K19" i="1"/>
  <c r="D19" i="1"/>
  <c r="E18" i="1"/>
  <c r="F18" i="1"/>
  <c r="G18" i="1"/>
  <c r="H18" i="1"/>
  <c r="I18" i="1"/>
  <c r="J18" i="1"/>
  <c r="K18" i="1"/>
  <c r="D18" i="1"/>
  <c r="E17" i="1"/>
  <c r="F17" i="1"/>
  <c r="G17" i="1"/>
  <c r="H17" i="1"/>
  <c r="I17" i="1"/>
  <c r="J17" i="1"/>
  <c r="K17" i="1"/>
  <c r="D17" i="1"/>
  <c r="K14" i="1"/>
  <c r="K13" i="1"/>
  <c r="K12" i="1"/>
  <c r="K11" i="1"/>
  <c r="K10" i="1"/>
  <c r="K9" i="1"/>
  <c r="K8" i="1"/>
  <c r="K7" i="1"/>
  <c r="J6" i="1"/>
  <c r="I6" i="1"/>
  <c r="H6" i="1"/>
  <c r="G6" i="1"/>
  <c r="F6" i="1"/>
  <c r="E6" i="1"/>
  <c r="D6" i="1"/>
  <c r="K5" i="1"/>
  <c r="K4" i="1"/>
  <c r="B27" i="1" l="1"/>
  <c r="C27" i="1"/>
  <c r="C29" i="1"/>
  <c r="C28" i="1"/>
  <c r="B28" i="1"/>
  <c r="B24" i="1"/>
  <c r="B29" i="1"/>
  <c r="K6" i="1"/>
  <c r="A24" i="1"/>
  <c r="E27" i="1" l="1"/>
  <c r="D29" i="1"/>
  <c r="D27" i="1"/>
  <c r="E28" i="1"/>
  <c r="D28" i="1"/>
  <c r="E29" i="1"/>
  <c r="D24" i="1"/>
  <c r="C24" i="1"/>
</calcChain>
</file>

<file path=xl/sharedStrings.xml><?xml version="1.0" encoding="utf-8"?>
<sst xmlns="http://schemas.openxmlformats.org/spreadsheetml/2006/main" count="54" uniqueCount="38">
  <si>
    <t>Итого</t>
  </si>
  <si>
    <t>Число избирателей, внесенных в список</t>
  </si>
  <si>
    <t xml:space="preserve">Число действительных бюллетеней </t>
  </si>
  <si>
    <t>Явка %</t>
  </si>
  <si>
    <t xml:space="preserve">ФИО </t>
  </si>
  <si>
    <t>Выдвинут</t>
  </si>
  <si>
    <t xml:space="preserve">Доля голосов </t>
  </si>
  <si>
    <t>Явка</t>
  </si>
  <si>
    <t>Дисперсия</t>
  </si>
  <si>
    <t>Среднее</t>
  </si>
  <si>
    <t>Минимум</t>
  </si>
  <si>
    <t>Максимум</t>
  </si>
  <si>
    <t>Выше максимума</t>
  </si>
  <si>
    <t>Ниже Минимума</t>
  </si>
  <si>
    <t>ФИО</t>
  </si>
  <si>
    <t>Зелёные</t>
  </si>
  <si>
    <t>Справедливая Россия</t>
  </si>
  <si>
    <t>Новые люди</t>
  </si>
  <si>
    <t>КПРФ</t>
  </si>
  <si>
    <t>самовыдвиженец</t>
  </si>
  <si>
    <t>Единая Россия</t>
  </si>
  <si>
    <t>ЛДПР</t>
  </si>
  <si>
    <t>Сокол</t>
  </si>
  <si>
    <t>Сокол одномандат</t>
  </si>
  <si>
    <t>УИК №405</t>
  </si>
  <si>
    <t>УИК №409</t>
  </si>
  <si>
    <t>УИК №410</t>
  </si>
  <si>
    <t>УИК №412</t>
  </si>
  <si>
    <t>УИК №415</t>
  </si>
  <si>
    <t>УИК №416</t>
  </si>
  <si>
    <t>УИК №418</t>
  </si>
  <si>
    <t>Борисова Дарья Олеговна</t>
  </si>
  <si>
    <t>Матюшенков Дмитрий Михайлович</t>
  </si>
  <si>
    <t>Пангаев Андрей Валерьевич</t>
  </si>
  <si>
    <t>Роткова Анастасия Михайловна</t>
  </si>
  <si>
    <t>Степанов Игорь Викторович</t>
  </si>
  <si>
    <t>Тимков Михаил Юрьевич</t>
  </si>
  <si>
    <t>Фарафонов Анатолий Анатольевич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</si>
</sst>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\ ##0.00_-;\-* #\ ##0.00_-;_-* &quot;-&quot;??_-;_-@_-"/>
    <numFmt numFmtId="165" formatCode="_-* #\ ##0_-;\-* #\ ##0_-;_-* &quot;-&quot;??_-;_-@_-"/>
  </numFmts>
  <fonts count="10">
    <font>
      <sz val="11"/>
      <color theme="1"/>
      <name val="Calibri"/>
      <charset val="134"/>
      <scheme val="minor"/>
    </font>
    <font>
      <sz val="11"/>
      <name val="Calibri (Основной текст)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/>
    <xf numFmtId="0" fontId="5" fillId="0" borderId="0"/>
    <xf numFmtId="164" fontId="5" fillId="0" borderId="0"/>
  </cellStyleXfs>
  <cellXfs count="47">
    <xf numFmtId="0" fontId="0" fillId="0" borderId="0" xfId="0"/>
    <xf numFmtId="0" fontId="1" fillId="0" borderId="0" xfId="0" applyFont="1"/>
    <xf numFmtId="0" fontId="2" fillId="0" borderId="1" xfId="2" applyFont="1" applyBorder="1" applyAlignment="1">
      <alignment horizontal="center" vertical="center" wrapText="1"/>
    </xf>
    <xf numFmtId="165" fontId="2" fillId="0" borderId="1" xfId="3" applyNumberFormat="1" applyFont="1" applyBorder="1" applyAlignment="1">
      <alignment horizontal="center" vertical="center" wrapText="1"/>
    </xf>
    <xf numFmtId="10" fontId="2" fillId="0" borderId="1" xfId="3" applyNumberFormat="1" applyFont="1" applyBorder="1" applyAlignment="1">
      <alignment horizontal="center" vertical="center" wrapText="1"/>
    </xf>
    <xf numFmtId="165" fontId="2" fillId="0" borderId="8" xfId="3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10" fontId="2" fillId="0" borderId="7" xfId="0" applyNumberFormat="1" applyFont="1" applyBorder="1" applyAlignment="1">
      <alignment horizontal="center" vertical="center" wrapText="1"/>
    </xf>
    <xf numFmtId="165" fontId="2" fillId="0" borderId="1" xfId="3" applyNumberFormat="1" applyFont="1" applyBorder="1" applyAlignment="1">
      <alignment horizontal="center" vertical="center" wrapText="1"/>
    </xf>
    <xf numFmtId="165" fontId="1" fillId="0" borderId="0" xfId="3" applyNumberFormat="1" applyFont="1"/>
    <xf numFmtId="0" fontId="3" fillId="0" borderId="0" xfId="0" applyFont="1" applyBorder="1" applyAlignment="1">
      <alignment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9" fillId="0" borderId="1" xfId="0" applyFont="1" applyBorder="1"/>
    <xf numFmtId="0" fontId="7" fillId="0" borderId="1" xfId="3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2" fillId="0" borderId="1" xfId="3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8" fillId="0" borderId="1" xfId="0" applyFont="1" applyBorder="1" applyAlignment="1"/>
    <xf numFmtId="0" fontId="8" fillId="5" borderId="1" xfId="0" applyFont="1" applyFill="1" applyBorder="1" applyAlignment="1">
      <alignment horizontal="left" wrapText="1"/>
    </xf>
    <xf numFmtId="0" fontId="2" fillId="0" borderId="0" xfId="2" applyFont="1" applyBorder="1" applyAlignment="1">
      <alignment vertical="center" wrapText="1"/>
    </xf>
  </cellXfs>
  <cellStyles count="4">
    <cellStyle name="Обычный" xfId="0" builtinId="0"/>
    <cellStyle name="Обычный 2" xfId="2" xr:uid="{00000000-0005-0000-0000-000031000000}"/>
    <cellStyle name="Финансовый" xfId="1" builtinId="3"/>
    <cellStyle name="Финансовый 2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6"/>
  <sheetViews>
    <sheetView tabSelected="1" workbookViewId="0">
      <selection activeCell="I29" sqref="I29"/>
    </sheetView>
  </sheetViews>
  <sheetFormatPr defaultColWidth="8.85546875" defaultRowHeight="13.5"/>
  <cols>
    <col min="1" max="1" width="15.7109375" style="1" customWidth="1"/>
    <col min="2" max="2" width="50.7109375" style="1" customWidth="1"/>
    <col min="3" max="3" width="25.7109375" style="1" customWidth="1"/>
    <col min="4" max="20" width="20.7109375" style="1" customWidth="1"/>
    <col min="21" max="21" width="11" style="1" customWidth="1"/>
    <col min="22" max="22" width="12.7109375" style="1" customWidth="1"/>
    <col min="23" max="23" width="13.28515625" style="1" customWidth="1"/>
    <col min="24" max="26" width="12.42578125" style="1" customWidth="1"/>
    <col min="27" max="27" width="13.85546875" style="1" customWidth="1"/>
    <col min="28" max="28" width="13.42578125" style="1" customWidth="1"/>
    <col min="29" max="29" width="13.28515625" style="1" customWidth="1"/>
    <col min="30" max="30" width="13.42578125" style="1" customWidth="1"/>
    <col min="31" max="31" width="13.140625" style="1" customWidth="1"/>
    <col min="32" max="32" width="12.7109375" style="1" customWidth="1"/>
    <col min="33" max="33" width="14.140625" style="1" customWidth="1"/>
    <col min="34" max="34" width="13.140625" style="1" customWidth="1"/>
    <col min="35" max="35" width="12.140625" style="1" customWidth="1"/>
    <col min="36" max="36" width="13.42578125" style="1" customWidth="1"/>
    <col min="37" max="37" width="13.85546875" style="1" customWidth="1"/>
    <col min="38" max="38" width="12.85546875" style="1" customWidth="1"/>
    <col min="39" max="39" width="13.42578125" style="1" customWidth="1"/>
    <col min="40" max="41" width="13.28515625" style="1" customWidth="1"/>
    <col min="42" max="42" width="13.85546875" style="1" customWidth="1"/>
    <col min="43" max="43" width="13.42578125" style="1" customWidth="1"/>
    <col min="44" max="44" width="12.85546875" style="1" customWidth="1"/>
    <col min="45" max="45" width="13.28515625" style="1" customWidth="1"/>
    <col min="46" max="46" width="12.7109375" style="1" customWidth="1"/>
    <col min="47" max="47" width="13.28515625" style="1" customWidth="1"/>
    <col min="48" max="48" width="12.42578125" style="1" customWidth="1"/>
    <col min="49" max="49" width="13.140625" style="1" customWidth="1"/>
    <col min="50" max="50" width="12.85546875" style="1" customWidth="1"/>
    <col min="51" max="51" width="14.140625" style="1" customWidth="1"/>
    <col min="52" max="52" width="12.85546875" style="1" customWidth="1"/>
    <col min="53" max="58" width="12.42578125" style="1" customWidth="1"/>
    <col min="59" max="87" width="11" style="1" customWidth="1"/>
    <col min="88" max="88" width="11.42578125" style="1" customWidth="1"/>
    <col min="89" max="96" width="11" style="1" customWidth="1"/>
    <col min="97" max="97" width="8.85546875" style="1" customWidth="1"/>
    <col min="98" max="16384" width="8.85546875" style="1"/>
  </cols>
  <sheetData>
    <row r="1" spans="1:48" ht="15" customHeight="1">
      <c r="A1" s="25"/>
      <c r="B1" s="31" t="s">
        <v>22</v>
      </c>
      <c r="C1" s="32"/>
      <c r="D1" s="32"/>
      <c r="E1" s="32"/>
      <c r="F1" s="32"/>
      <c r="G1" s="32"/>
      <c r="H1" s="32"/>
      <c r="I1" s="32"/>
      <c r="J1" s="32"/>
      <c r="K1" s="33"/>
      <c r="L1" s="46"/>
      <c r="M1" s="46"/>
      <c r="N1" s="46"/>
      <c r="O1" s="16"/>
      <c r="P1" s="16"/>
      <c r="Q1" s="16"/>
      <c r="R1" s="16"/>
      <c r="S1" s="16"/>
      <c r="T1" s="16"/>
    </row>
    <row r="2" spans="1:48" ht="15" customHeight="1">
      <c r="A2" s="29"/>
      <c r="B2" s="31" t="s">
        <v>23</v>
      </c>
      <c r="C2" s="32"/>
      <c r="D2" s="32"/>
      <c r="E2" s="32"/>
      <c r="F2" s="32"/>
      <c r="G2" s="32"/>
      <c r="H2" s="32"/>
      <c r="I2" s="32"/>
      <c r="J2" s="32"/>
      <c r="K2" s="33"/>
      <c r="L2" s="46"/>
      <c r="M2" s="46"/>
      <c r="N2" s="46"/>
      <c r="O2" s="16"/>
      <c r="P2" s="16"/>
      <c r="Q2" s="16"/>
      <c r="R2" s="16"/>
      <c r="S2" s="16"/>
      <c r="T2" s="16"/>
    </row>
    <row r="3" spans="1:48" ht="15" customHeight="1">
      <c r="A3" s="29"/>
      <c r="B3" s="40"/>
      <c r="C3" s="41"/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0</v>
      </c>
    </row>
    <row r="4" spans="1:48" ht="15" customHeight="1">
      <c r="A4" s="29"/>
      <c r="B4" s="25" t="s">
        <v>1</v>
      </c>
      <c r="C4" s="26"/>
      <c r="D4" s="22">
        <v>5951</v>
      </c>
      <c r="E4" s="22">
        <v>4635</v>
      </c>
      <c r="F4" s="22">
        <v>1413</v>
      </c>
      <c r="G4" s="22">
        <v>2237</v>
      </c>
      <c r="H4" s="23">
        <v>2291</v>
      </c>
      <c r="I4" s="23">
        <v>2350</v>
      </c>
      <c r="J4" s="23">
        <v>2250</v>
      </c>
      <c r="K4" s="22">
        <f>SUM(D4:J4)</f>
        <v>21127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</row>
    <row r="5" spans="1:48" ht="15" customHeight="1">
      <c r="A5" s="29"/>
      <c r="B5" s="25" t="s">
        <v>2</v>
      </c>
      <c r="C5" s="26"/>
      <c r="D5" s="22">
        <v>132</v>
      </c>
      <c r="E5" s="22">
        <v>98</v>
      </c>
      <c r="F5" s="22">
        <v>37</v>
      </c>
      <c r="G5" s="22">
        <v>63</v>
      </c>
      <c r="H5" s="24">
        <v>36</v>
      </c>
      <c r="I5" s="24">
        <v>59</v>
      </c>
      <c r="J5" s="24">
        <v>34</v>
      </c>
      <c r="K5" s="22">
        <f>SUM(D5:J5)</f>
        <v>459</v>
      </c>
    </row>
    <row r="6" spans="1:48" ht="15" customHeight="1">
      <c r="A6" s="29"/>
      <c r="B6" s="25" t="s">
        <v>3</v>
      </c>
      <c r="C6" s="26"/>
      <c r="D6" s="4">
        <f t="shared" ref="D6:K6" si="0">D5/D4</f>
        <v>2.2181146025878003E-2</v>
      </c>
      <c r="E6" s="4">
        <f t="shared" si="0"/>
        <v>2.1143473570658038E-2</v>
      </c>
      <c r="F6" s="4">
        <f t="shared" si="0"/>
        <v>2.6185421089879687E-2</v>
      </c>
      <c r="G6" s="4">
        <f t="shared" si="0"/>
        <v>2.8162717925793473E-2</v>
      </c>
      <c r="H6" s="4">
        <f t="shared" si="0"/>
        <v>1.5713662156263641E-2</v>
      </c>
      <c r="I6" s="4">
        <f t="shared" si="0"/>
        <v>2.5106382978723404E-2</v>
      </c>
      <c r="J6" s="4">
        <f t="shared" si="0"/>
        <v>1.5111111111111112E-2</v>
      </c>
      <c r="K6" s="4">
        <f t="shared" si="0"/>
        <v>2.1725753774790552E-2</v>
      </c>
    </row>
    <row r="7" spans="1:48" ht="15" customHeight="1">
      <c r="A7" s="30"/>
      <c r="B7" s="2" t="s">
        <v>4</v>
      </c>
      <c r="C7" s="2" t="s">
        <v>5</v>
      </c>
      <c r="D7" s="5"/>
      <c r="E7" s="6"/>
      <c r="F7" s="6"/>
      <c r="G7" s="6"/>
      <c r="H7" s="6"/>
      <c r="I7" s="6"/>
      <c r="J7" s="6"/>
      <c r="K7" s="14">
        <f>SUM(D7:J7)</f>
        <v>0</v>
      </c>
    </row>
    <row r="8" spans="1:48" ht="15" customHeight="1">
      <c r="A8" s="18">
        <v>1</v>
      </c>
      <c r="B8" s="44" t="s">
        <v>31</v>
      </c>
      <c r="C8" s="19" t="s">
        <v>20</v>
      </c>
      <c r="D8" s="20">
        <v>119</v>
      </c>
      <c r="E8" s="20">
        <v>66</v>
      </c>
      <c r="F8" s="20">
        <v>31</v>
      </c>
      <c r="G8" s="20">
        <v>56</v>
      </c>
      <c r="H8" s="20">
        <v>33</v>
      </c>
      <c r="I8" s="20">
        <v>50</v>
      </c>
      <c r="J8" s="20">
        <v>33</v>
      </c>
      <c r="K8" s="20">
        <f>SUM(D8:J8)</f>
        <v>388</v>
      </c>
    </row>
    <row r="9" spans="1:48" ht="15" customHeight="1">
      <c r="A9" s="18">
        <v>2</v>
      </c>
      <c r="B9" s="44" t="s">
        <v>32</v>
      </c>
      <c r="C9" s="19" t="s">
        <v>21</v>
      </c>
      <c r="D9" s="20">
        <v>1</v>
      </c>
      <c r="E9" s="20">
        <v>2</v>
      </c>
      <c r="F9" s="20">
        <v>1</v>
      </c>
      <c r="G9" s="20">
        <v>0</v>
      </c>
      <c r="H9" s="20">
        <v>0</v>
      </c>
      <c r="I9" s="20">
        <v>0</v>
      </c>
      <c r="J9" s="20">
        <v>0</v>
      </c>
      <c r="K9" s="20">
        <f>SUM(D9:J9)</f>
        <v>4</v>
      </c>
    </row>
    <row r="10" spans="1:48" ht="15" customHeight="1">
      <c r="A10" s="18">
        <v>3</v>
      </c>
      <c r="B10" s="45" t="s">
        <v>33</v>
      </c>
      <c r="C10" s="19" t="s">
        <v>15</v>
      </c>
      <c r="D10" s="20">
        <v>2</v>
      </c>
      <c r="E10" s="20">
        <v>10</v>
      </c>
      <c r="F10" s="20">
        <v>0</v>
      </c>
      <c r="G10" s="20">
        <v>2</v>
      </c>
      <c r="H10" s="20">
        <v>0</v>
      </c>
      <c r="I10" s="20">
        <v>1</v>
      </c>
      <c r="J10" s="20">
        <v>0</v>
      </c>
      <c r="K10" s="20">
        <f>SUM(D10:J10)</f>
        <v>15</v>
      </c>
    </row>
    <row r="11" spans="1:48" ht="15" customHeight="1">
      <c r="A11" s="18">
        <v>4</v>
      </c>
      <c r="B11" s="45" t="s">
        <v>34</v>
      </c>
      <c r="C11" s="19" t="s">
        <v>18</v>
      </c>
      <c r="D11" s="20">
        <v>8</v>
      </c>
      <c r="E11" s="20">
        <v>14</v>
      </c>
      <c r="F11" s="21">
        <v>3</v>
      </c>
      <c r="G11" s="20">
        <v>4</v>
      </c>
      <c r="H11" s="20">
        <v>3</v>
      </c>
      <c r="I11" s="20">
        <v>6</v>
      </c>
      <c r="J11" s="20">
        <v>1</v>
      </c>
      <c r="K11" s="20">
        <f>SUM(D11:J11)</f>
        <v>39</v>
      </c>
    </row>
    <row r="12" spans="1:48" ht="15" customHeight="1">
      <c r="A12" s="18">
        <v>5</v>
      </c>
      <c r="B12" s="45" t="s">
        <v>35</v>
      </c>
      <c r="C12" s="19" t="s">
        <v>19</v>
      </c>
      <c r="D12" s="20">
        <v>1</v>
      </c>
      <c r="E12" s="20">
        <v>1</v>
      </c>
      <c r="F12" s="21">
        <v>0</v>
      </c>
      <c r="G12" s="20">
        <v>1</v>
      </c>
      <c r="H12" s="20">
        <v>0</v>
      </c>
      <c r="I12" s="20">
        <v>0</v>
      </c>
      <c r="J12" s="20">
        <v>0</v>
      </c>
      <c r="K12" s="20">
        <f>SUM(D12:J12)</f>
        <v>3</v>
      </c>
    </row>
    <row r="13" spans="1:48" ht="15" customHeight="1">
      <c r="A13" s="18">
        <v>6</v>
      </c>
      <c r="B13" s="45" t="s">
        <v>36</v>
      </c>
      <c r="C13" s="19" t="s">
        <v>16</v>
      </c>
      <c r="D13" s="20">
        <v>1</v>
      </c>
      <c r="E13" s="20">
        <v>0</v>
      </c>
      <c r="F13" s="21">
        <v>2</v>
      </c>
      <c r="G13" s="20">
        <v>0</v>
      </c>
      <c r="H13" s="20">
        <v>0</v>
      </c>
      <c r="I13" s="20">
        <v>1</v>
      </c>
      <c r="J13" s="20">
        <v>0</v>
      </c>
      <c r="K13" s="20">
        <f>SUM(D13:J13)</f>
        <v>4</v>
      </c>
    </row>
    <row r="14" spans="1:48" ht="15" customHeight="1">
      <c r="A14" s="18">
        <v>7</v>
      </c>
      <c r="B14" s="45" t="s">
        <v>37</v>
      </c>
      <c r="C14" s="19" t="s">
        <v>17</v>
      </c>
      <c r="D14" s="20">
        <v>0</v>
      </c>
      <c r="E14" s="20">
        <v>5</v>
      </c>
      <c r="F14" s="21">
        <v>0</v>
      </c>
      <c r="G14" s="20">
        <v>0</v>
      </c>
      <c r="H14" s="20">
        <v>0</v>
      </c>
      <c r="I14" s="20">
        <v>1</v>
      </c>
      <c r="J14" s="20">
        <v>0</v>
      </c>
      <c r="K14" s="20">
        <f>SUM(D14:J14)</f>
        <v>6</v>
      </c>
    </row>
    <row r="15" spans="1:48" ht="15" customHeight="1">
      <c r="A15" s="34" t="s">
        <v>6</v>
      </c>
      <c r="B15" s="35"/>
      <c r="C15" s="35"/>
      <c r="D15" s="35"/>
      <c r="E15" s="35"/>
      <c r="F15" s="35"/>
      <c r="G15" s="35"/>
      <c r="H15" s="35"/>
      <c r="I15" s="35"/>
      <c r="J15" s="35"/>
      <c r="K15" s="36"/>
    </row>
    <row r="16" spans="1:48" ht="15" customHeight="1">
      <c r="A16" s="7"/>
      <c r="B16" s="7" t="s">
        <v>4</v>
      </c>
      <c r="C16" s="7" t="s">
        <v>5</v>
      </c>
      <c r="D16" s="37"/>
      <c r="E16" s="38"/>
      <c r="F16" s="38"/>
      <c r="G16" s="38"/>
      <c r="H16" s="38"/>
      <c r="I16" s="38"/>
      <c r="J16" s="38"/>
      <c r="K16" s="39"/>
    </row>
    <row r="17" spans="1:17" ht="15" customHeight="1">
      <c r="A17" s="7">
        <v>1</v>
      </c>
      <c r="B17" s="44" t="s">
        <v>31</v>
      </c>
      <c r="C17" s="19" t="s">
        <v>20</v>
      </c>
      <c r="D17" s="17">
        <f>D8/D5</f>
        <v>0.90151515151515149</v>
      </c>
      <c r="E17" s="17">
        <f t="shared" ref="E17:K17" si="1">E8/E5</f>
        <v>0.67346938775510201</v>
      </c>
      <c r="F17" s="17">
        <f t="shared" si="1"/>
        <v>0.83783783783783783</v>
      </c>
      <c r="G17" s="17">
        <f t="shared" si="1"/>
        <v>0.88888888888888884</v>
      </c>
      <c r="H17" s="17">
        <f t="shared" si="1"/>
        <v>0.91666666666666663</v>
      </c>
      <c r="I17" s="17">
        <f t="shared" si="1"/>
        <v>0.84745762711864403</v>
      </c>
      <c r="J17" s="17">
        <f t="shared" si="1"/>
        <v>0.97058823529411764</v>
      </c>
      <c r="K17" s="17">
        <f t="shared" si="1"/>
        <v>0.84531590413943358</v>
      </c>
      <c r="L17" s="42"/>
      <c r="M17" s="42"/>
      <c r="N17" s="42"/>
    </row>
    <row r="18" spans="1:17" ht="15" customHeight="1">
      <c r="A18" s="7">
        <v>2</v>
      </c>
      <c r="B18" s="45" t="s">
        <v>34</v>
      </c>
      <c r="C18" s="19" t="s">
        <v>18</v>
      </c>
      <c r="D18" s="8">
        <f>D11/D5</f>
        <v>6.0606060606060608E-2</v>
      </c>
      <c r="E18" s="8">
        <f t="shared" ref="E18:K18" si="2">E11/E5</f>
        <v>0.14285714285714285</v>
      </c>
      <c r="F18" s="8">
        <f t="shared" si="2"/>
        <v>8.1081081081081086E-2</v>
      </c>
      <c r="G18" s="8">
        <f t="shared" si="2"/>
        <v>6.3492063492063489E-2</v>
      </c>
      <c r="H18" s="8">
        <f t="shared" si="2"/>
        <v>8.3333333333333329E-2</v>
      </c>
      <c r="I18" s="8">
        <f t="shared" si="2"/>
        <v>0.10169491525423729</v>
      </c>
      <c r="J18" s="8">
        <f t="shared" si="2"/>
        <v>2.9411764705882353E-2</v>
      </c>
      <c r="K18" s="8">
        <f t="shared" si="2"/>
        <v>8.4967320261437912E-2</v>
      </c>
      <c r="L18" s="43"/>
      <c r="M18" s="43"/>
      <c r="N18" s="43"/>
    </row>
    <row r="19" spans="1:17" ht="15" customHeight="1">
      <c r="A19" s="7">
        <v>3</v>
      </c>
      <c r="B19" s="45" t="s">
        <v>37</v>
      </c>
      <c r="C19" s="19" t="s">
        <v>17</v>
      </c>
      <c r="D19" s="8">
        <f>D14/D5</f>
        <v>0</v>
      </c>
      <c r="E19" s="8">
        <f t="shared" ref="E19:K19" si="3">E14/E5</f>
        <v>5.1020408163265307E-2</v>
      </c>
      <c r="F19" s="8">
        <f t="shared" si="3"/>
        <v>0</v>
      </c>
      <c r="G19" s="8">
        <f t="shared" si="3"/>
        <v>0</v>
      </c>
      <c r="H19" s="8">
        <f t="shared" si="3"/>
        <v>0</v>
      </c>
      <c r="I19" s="8">
        <f t="shared" si="3"/>
        <v>1.6949152542372881E-2</v>
      </c>
      <c r="J19" s="8">
        <f t="shared" si="3"/>
        <v>0</v>
      </c>
      <c r="K19" s="8">
        <f t="shared" si="3"/>
        <v>1.3071895424836602E-2</v>
      </c>
    </row>
    <row r="20" spans="1:17" ht="15" customHeight="1">
      <c r="L20" s="16"/>
      <c r="M20" s="16"/>
      <c r="N20" s="16"/>
      <c r="O20" s="16"/>
      <c r="P20" s="16"/>
      <c r="Q20" s="16"/>
    </row>
    <row r="21" spans="1:17" ht="15" customHeight="1">
      <c r="L21" s="16"/>
      <c r="M21" s="16"/>
      <c r="N21" s="16"/>
      <c r="O21" s="16"/>
      <c r="P21" s="16"/>
      <c r="Q21" s="16"/>
    </row>
    <row r="22" spans="1:17" ht="15" customHeight="1">
      <c r="A22" s="27" t="s">
        <v>7</v>
      </c>
      <c r="B22" s="28"/>
      <c r="C22" s="28"/>
      <c r="D22" s="26"/>
      <c r="E22" s="6"/>
      <c r="G22" s="10"/>
      <c r="H22" s="11"/>
    </row>
    <row r="23" spans="1:17" ht="15" customHeight="1">
      <c r="A23" s="9" t="s">
        <v>8</v>
      </c>
      <c r="B23" s="9" t="s">
        <v>9</v>
      </c>
      <c r="C23" s="9" t="s">
        <v>10</v>
      </c>
      <c r="D23" s="9" t="s">
        <v>11</v>
      </c>
      <c r="E23" s="6"/>
      <c r="G23" s="12" t="s">
        <v>12</v>
      </c>
      <c r="H23" s="12" t="s">
        <v>13</v>
      </c>
    </row>
    <row r="24" spans="1:17" ht="15" customHeight="1">
      <c r="A24" s="13">
        <f>_xlfn.STDEV.P(D6:J6)</f>
        <v>4.673104355763423E-3</v>
      </c>
      <c r="B24" s="13">
        <f>AVERAGE(D6:J6)</f>
        <v>2.194341640832962E-2</v>
      </c>
      <c r="C24" s="13">
        <f>B24-A24</f>
        <v>1.7270312052566197E-2</v>
      </c>
      <c r="D24" s="13">
        <f>B24+A24</f>
        <v>2.6616520764093043E-2</v>
      </c>
      <c r="E24" s="6"/>
    </row>
    <row r="25" spans="1:17" ht="15" customHeight="1">
      <c r="A25" s="27" t="s">
        <v>6</v>
      </c>
      <c r="B25" s="28"/>
      <c r="C25" s="28"/>
      <c r="D25" s="28"/>
      <c r="E25" s="26"/>
    </row>
    <row r="26" spans="1:17" ht="15" customHeight="1">
      <c r="A26" s="9" t="s">
        <v>14</v>
      </c>
      <c r="B26" s="9" t="s">
        <v>8</v>
      </c>
      <c r="C26" s="9" t="s">
        <v>9</v>
      </c>
      <c r="D26" s="9" t="s">
        <v>10</v>
      </c>
      <c r="E26" s="9" t="s">
        <v>11</v>
      </c>
    </row>
    <row r="27" spans="1:17" ht="15" customHeight="1">
      <c r="A27" s="44" t="s">
        <v>31</v>
      </c>
      <c r="B27" s="8">
        <f>_xlfn.STDEV.P(D17:J17)</f>
        <v>8.7343780563465201E-2</v>
      </c>
      <c r="C27" s="8">
        <f>AVERAGE(D17:J17)</f>
        <v>0.86234625643948704</v>
      </c>
      <c r="D27" s="8">
        <f>C27-B27</f>
        <v>0.77500247587602189</v>
      </c>
      <c r="E27" s="8">
        <f>C27+B27</f>
        <v>0.94969003700295218</v>
      </c>
    </row>
    <row r="28" spans="1:17" ht="15" customHeight="1">
      <c r="A28" s="45" t="s">
        <v>34</v>
      </c>
      <c r="B28" s="8">
        <f>_xlfn.STDEV.P(D18:J18)</f>
        <v>3.3038721772231654E-2</v>
      </c>
      <c r="C28" s="8">
        <f>AVERAGE(D18:J18)</f>
        <v>8.0353765904257288E-2</v>
      </c>
      <c r="D28" s="8">
        <f>C28-B28</f>
        <v>4.7315044132025634E-2</v>
      </c>
      <c r="E28" s="8">
        <f>C28+B28</f>
        <v>0.11339248767648893</v>
      </c>
    </row>
    <row r="29" spans="1:17" ht="15" customHeight="1">
      <c r="A29" s="45" t="s">
        <v>37</v>
      </c>
      <c r="B29" s="8">
        <f>_xlfn.STDEV.P(D19:J19)</f>
        <v>1.7850072637386229E-2</v>
      </c>
      <c r="C29" s="8">
        <f>AVERAGE(D19:J19)</f>
        <v>9.7099372436625971E-3</v>
      </c>
      <c r="D29" s="8">
        <f>C29-B29</f>
        <v>-8.1401353937236316E-3</v>
      </c>
      <c r="E29" s="8">
        <f>C29+B29</f>
        <v>2.7560009881048828E-2</v>
      </c>
    </row>
    <row r="30" spans="1:17" ht="50.1" customHeight="1"/>
    <row r="31" spans="1:17" ht="50.1" customHeight="1"/>
    <row r="32" spans="1:17" ht="50.1" customHeight="1"/>
    <row r="33" ht="50.1" customHeight="1"/>
    <row r="34" ht="50.1" customHeight="1"/>
    <row r="63" ht="55.15" customHeight="1"/>
    <row r="64" ht="27.6" customHeight="1"/>
    <row r="66" ht="55.15" customHeight="1"/>
  </sheetData>
  <mergeCells count="11">
    <mergeCell ref="B6:C6"/>
    <mergeCell ref="A22:D22"/>
    <mergeCell ref="A25:E25"/>
    <mergeCell ref="A1:A7"/>
    <mergeCell ref="B3:C3"/>
    <mergeCell ref="B4:C4"/>
    <mergeCell ref="B5:C5"/>
    <mergeCell ref="B1:K1"/>
    <mergeCell ref="B2:K2"/>
    <mergeCell ref="A15:K15"/>
    <mergeCell ref="D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Мещанский одномандат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Осипов</cp:lastModifiedBy>
  <dcterms:created xsi:type="dcterms:W3CDTF">2026-03-04T02:42:00Z</dcterms:created>
  <dcterms:modified xsi:type="dcterms:W3CDTF">2026-03-11T22:02:31Z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8A290DE2AAEB4A3EA8A69DE26DB8B44E_13</vt:lpwstr>
  </property>
  <property fmtid="{D5CDD505-2E9C-101B-9397-08002B2CF9AE}" pid="3" name="KSOProductBuildVer">
    <vt:lpwstr>1049-12.2.0.23196</vt:lpwstr>
  </property>
</Properties>
</file>