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x26\OneDrive\Рабочий стол\Новые Люди\"/>
    </mc:Choice>
  </mc:AlternateContent>
  <xr:revisionPtr revIDLastSave="0" documentId="13_ncr:1_{35FB59BD-C2A0-4B38-9568-19AAD63460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Мещанский одноманда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" l="1"/>
  <c r="E27" i="1" s="1"/>
  <c r="B27" i="1"/>
  <c r="E17" i="1"/>
  <c r="F17" i="1"/>
  <c r="G17" i="1"/>
  <c r="H17" i="1"/>
  <c r="I17" i="1"/>
  <c r="J17" i="1"/>
  <c r="K17" i="1"/>
  <c r="L17" i="1"/>
  <c r="M17" i="1"/>
  <c r="D17" i="1"/>
  <c r="D16" i="1"/>
  <c r="E15" i="1"/>
  <c r="F15" i="1"/>
  <c r="G15" i="1"/>
  <c r="H15" i="1"/>
  <c r="I15" i="1"/>
  <c r="J15" i="1"/>
  <c r="K15" i="1"/>
  <c r="L15" i="1"/>
  <c r="M15" i="1"/>
  <c r="D15" i="1"/>
  <c r="E16" i="1"/>
  <c r="F16" i="1"/>
  <c r="G16" i="1"/>
  <c r="H16" i="1"/>
  <c r="I16" i="1"/>
  <c r="J16" i="1"/>
  <c r="K16" i="1"/>
  <c r="L16" i="1"/>
  <c r="B25" i="1"/>
  <c r="E14" i="1"/>
  <c r="F14" i="1"/>
  <c r="G14" i="1"/>
  <c r="H14" i="1"/>
  <c r="I14" i="1"/>
  <c r="J14" i="1"/>
  <c r="K14" i="1"/>
  <c r="L14" i="1"/>
  <c r="D14" i="1"/>
  <c r="D6" i="1"/>
  <c r="E6" i="1"/>
  <c r="F6" i="1"/>
  <c r="G6" i="1"/>
  <c r="H6" i="1"/>
  <c r="I6" i="1"/>
  <c r="J6" i="1"/>
  <c r="K6" i="1"/>
  <c r="L6" i="1"/>
  <c r="M11" i="1"/>
  <c r="M10" i="1"/>
  <c r="M9" i="1"/>
  <c r="M8" i="1"/>
  <c r="M5" i="1"/>
  <c r="M4" i="1"/>
  <c r="D27" i="1" l="1"/>
  <c r="C24" i="1"/>
  <c r="M16" i="1"/>
  <c r="M6" i="1"/>
  <c r="M14" i="1"/>
  <c r="C25" i="1"/>
  <c r="D25" i="1" s="1"/>
  <c r="C26" i="1"/>
  <c r="B24" i="1"/>
  <c r="B26" i="1"/>
  <c r="A21" i="1"/>
  <c r="B21" i="1"/>
  <c r="E26" i="1" l="1"/>
  <c r="E25" i="1"/>
  <c r="E24" i="1"/>
  <c r="D24" i="1"/>
  <c r="D26" i="1"/>
  <c r="D21" i="1"/>
  <c r="C21" i="1"/>
</calcChain>
</file>

<file path=xl/sharedStrings.xml><?xml version="1.0" encoding="utf-8"?>
<sst xmlns="http://schemas.openxmlformats.org/spreadsheetml/2006/main" count="53" uniqueCount="34">
  <si>
    <t>Мещанский</t>
  </si>
  <si>
    <t>Мещанский одномандат</t>
  </si>
  <si>
    <t>Итого</t>
  </si>
  <si>
    <t>Число избирателей, внесенных в список</t>
  </si>
  <si>
    <t xml:space="preserve">Число действительных бюллетеней </t>
  </si>
  <si>
    <t>Явка %</t>
  </si>
  <si>
    <t xml:space="preserve">ФИО </t>
  </si>
  <si>
    <t>Выдвинут</t>
  </si>
  <si>
    <t xml:space="preserve">Доля голосов </t>
  </si>
  <si>
    <t>Явка</t>
  </si>
  <si>
    <t>Дисперсия</t>
  </si>
  <si>
    <t>Среднее</t>
  </si>
  <si>
    <t>Минимум</t>
  </si>
  <si>
    <t>Максимум</t>
  </si>
  <si>
    <t>Выше максимума</t>
  </si>
  <si>
    <t>Ниже Минимума</t>
  </si>
  <si>
    <t>ФИО</t>
  </si>
  <si>
    <t>КПРФ</t>
  </si>
  <si>
    <t>Новые Люди</t>
  </si>
  <si>
    <t>УИК №405</t>
  </si>
  <si>
    <t>Путин Владимир Владимирович</t>
  </si>
  <si>
    <t>Слуцкий Леонид Эдуардович</t>
  </si>
  <si>
    <t>Харитонов Николай Михайлович</t>
  </si>
  <si>
    <t>Самовыджвиженец</t>
  </si>
  <si>
    <t>ЛДПР</t>
  </si>
  <si>
    <t>УИК №407</t>
  </si>
  <si>
    <t>УИК №410</t>
  </si>
  <si>
    <t>УИК №409</t>
  </si>
  <si>
    <t>УИК №412</t>
  </si>
  <si>
    <t>УИК №413</t>
  </si>
  <si>
    <t>УИК №415</t>
  </si>
  <si>
    <t>УИК №416</t>
  </si>
  <si>
    <t>УИК №418</t>
  </si>
  <si>
    <t xml:space="preserve">     Даванков Владислав Андреевич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</si>
</sst>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\ ##0.00_-;\-* #\ ##0.00_-;_-* &quot;-&quot;??_-;_-@_-"/>
    <numFmt numFmtId="165" formatCode="_-* #\ ##0_-;\-* #\ ##0_-;_-* &quot;-&quot;??_-;_-@_-"/>
  </numFmts>
  <fonts count="9">
    <font>
      <sz val="11"/>
      <color theme="1"/>
      <name val="Calibri"/>
      <charset val="134"/>
      <scheme val="minor"/>
    </font>
    <font>
      <sz val="11"/>
      <name val="Calibri (Основной текст)"/>
      <charset val="13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rgb="FF494845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164" fontId="5" fillId="0" borderId="0"/>
    <xf numFmtId="0" fontId="6" fillId="0" borderId="0"/>
  </cellStyleXfs>
  <cellXfs count="38">
    <xf numFmtId="0" fontId="0" fillId="0" borderId="0" xfId="0"/>
    <xf numFmtId="0" fontId="1" fillId="0" borderId="0" xfId="0" applyFont="1"/>
    <xf numFmtId="0" fontId="2" fillId="0" borderId="1" xfId="1" applyFont="1" applyBorder="1" applyAlignment="1">
      <alignment horizontal="center" vertical="center" wrapText="1"/>
    </xf>
    <xf numFmtId="165" fontId="2" fillId="0" borderId="1" xfId="2" applyNumberFormat="1" applyFont="1" applyBorder="1" applyAlignment="1">
      <alignment horizontal="center" vertical="center" wrapText="1"/>
    </xf>
    <xf numFmtId="10" fontId="2" fillId="0" borderId="1" xfId="2" applyNumberFormat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65" fontId="2" fillId="0" borderId="8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10" fontId="2" fillId="0" borderId="7" xfId="0" applyNumberFormat="1" applyFont="1" applyBorder="1" applyAlignment="1">
      <alignment horizontal="center" vertical="center" wrapText="1"/>
    </xf>
    <xf numFmtId="165" fontId="2" fillId="0" borderId="1" xfId="2" applyNumberFormat="1" applyFont="1" applyBorder="1" applyAlignment="1">
      <alignment horizontal="center" vertical="center" wrapText="1"/>
    </xf>
    <xf numFmtId="165" fontId="1" fillId="0" borderId="0" xfId="2" applyNumberFormat="1" applyFont="1"/>
    <xf numFmtId="0" fontId="7" fillId="4" borderId="1" xfId="3" applyFont="1" applyFill="1" applyBorder="1" applyAlignment="1">
      <alignment horizontal="right" vertical="center" wrapText="1" indent="2"/>
    </xf>
    <xf numFmtId="0" fontId="8" fillId="4" borderId="1" xfId="3" applyFont="1" applyFill="1" applyBorder="1" applyAlignment="1">
      <alignment horizontal="right" vertical="center" wrapText="1" indent="2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/>
    <xf numFmtId="0" fontId="2" fillId="0" borderId="9" xfId="0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7" fillId="0" borderId="1" xfId="0" applyFont="1" applyBorder="1"/>
    <xf numFmtId="0" fontId="7" fillId="4" borderId="1" xfId="0" applyFont="1" applyFill="1" applyBorder="1" applyAlignment="1">
      <alignment horizontal="left" vertical="center" wrapText="1" indent="2"/>
    </xf>
    <xf numFmtId="0" fontId="1" fillId="0" borderId="1" xfId="0" applyFont="1" applyBorder="1"/>
    <xf numFmtId="0" fontId="2" fillId="0" borderId="9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</cellXfs>
  <cellStyles count="4">
    <cellStyle name="Обычный" xfId="0" builtinId="0"/>
    <cellStyle name="Обычный 2" xfId="1" xr:uid="{00000000-0005-0000-0000-000031000000}"/>
    <cellStyle name="Обычный 3" xfId="3" xr:uid="{EAA020A7-86E1-4CA8-A5DC-8C75D86398D8}"/>
    <cellStyle name="Финансовый 2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6"/>
  <sheetViews>
    <sheetView tabSelected="1" topLeftCell="A12" workbookViewId="0">
      <selection activeCell="C27" sqref="C27"/>
    </sheetView>
  </sheetViews>
  <sheetFormatPr defaultColWidth="8.77734375" defaultRowHeight="14.4"/>
  <cols>
    <col min="1" max="1" width="14.21875" style="1" customWidth="1"/>
    <col min="2" max="2" width="50.77734375" style="1" customWidth="1"/>
    <col min="3" max="3" width="25.77734375" style="1" customWidth="1"/>
    <col min="4" max="20" width="20.77734375" style="1" customWidth="1"/>
    <col min="21" max="21" width="11" style="1" customWidth="1"/>
    <col min="22" max="22" width="12.6640625" style="1" customWidth="1"/>
    <col min="23" max="23" width="13.33203125" style="1" customWidth="1"/>
    <col min="24" max="26" width="12.44140625" style="1" customWidth="1"/>
    <col min="27" max="27" width="13.77734375" style="1" customWidth="1"/>
    <col min="28" max="28" width="13.44140625" style="1" customWidth="1"/>
    <col min="29" max="29" width="13.33203125" style="1" customWidth="1"/>
    <col min="30" max="30" width="13.44140625" style="1" customWidth="1"/>
    <col min="31" max="31" width="13.109375" style="1" customWidth="1"/>
    <col min="32" max="32" width="12.6640625" style="1" customWidth="1"/>
    <col min="33" max="33" width="14.109375" style="1" customWidth="1"/>
    <col min="34" max="34" width="13.109375" style="1" customWidth="1"/>
    <col min="35" max="35" width="12.109375" style="1" customWidth="1"/>
    <col min="36" max="36" width="13.44140625" style="1" customWidth="1"/>
    <col min="37" max="37" width="13.77734375" style="1" customWidth="1"/>
    <col min="38" max="38" width="12.77734375" style="1" customWidth="1"/>
    <col min="39" max="39" width="13.44140625" style="1" customWidth="1"/>
    <col min="40" max="41" width="13.33203125" style="1" customWidth="1"/>
    <col min="42" max="42" width="13.77734375" style="1" customWidth="1"/>
    <col min="43" max="43" width="13.44140625" style="1" customWidth="1"/>
    <col min="44" max="44" width="12.77734375" style="1" customWidth="1"/>
    <col min="45" max="45" width="13.33203125" style="1" customWidth="1"/>
    <col min="46" max="46" width="12.6640625" style="1" customWidth="1"/>
    <col min="47" max="47" width="13.33203125" style="1" customWidth="1"/>
    <col min="48" max="48" width="12.44140625" style="1" customWidth="1"/>
    <col min="49" max="49" width="13.109375" style="1" customWidth="1"/>
    <col min="50" max="50" width="12.77734375" style="1" customWidth="1"/>
    <col min="51" max="51" width="14.109375" style="1" customWidth="1"/>
    <col min="52" max="52" width="12.77734375" style="1" customWidth="1"/>
    <col min="53" max="58" width="12.44140625" style="1" customWidth="1"/>
    <col min="59" max="87" width="11" style="1" customWidth="1"/>
    <col min="88" max="88" width="11.44140625" style="1" customWidth="1"/>
    <col min="89" max="96" width="11" style="1" customWidth="1"/>
    <col min="97" max="97" width="8.77734375" style="1" customWidth="1"/>
    <col min="98" max="16384" width="8.77734375" style="1"/>
  </cols>
  <sheetData>
    <row r="1" spans="1:50" ht="15" customHeight="1">
      <c r="A1" s="21"/>
      <c r="B1" s="21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2"/>
    </row>
    <row r="2" spans="1:50" ht="15" customHeight="1">
      <c r="A2" s="26"/>
      <c r="B2" s="21" t="s">
        <v>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2"/>
    </row>
    <row r="3" spans="1:50" ht="15" customHeight="1">
      <c r="A3" s="26"/>
      <c r="B3" s="28"/>
      <c r="C3" s="29"/>
      <c r="D3" s="3" t="s">
        <v>19</v>
      </c>
      <c r="E3" s="3" t="s">
        <v>25</v>
      </c>
      <c r="F3" s="3" t="s">
        <v>27</v>
      </c>
      <c r="G3" s="3" t="s">
        <v>26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2</v>
      </c>
    </row>
    <row r="4" spans="1:50" ht="15" customHeight="1">
      <c r="A4" s="26"/>
      <c r="B4" s="21" t="s">
        <v>3</v>
      </c>
      <c r="C4" s="22"/>
      <c r="D4" s="16">
        <v>2632</v>
      </c>
      <c r="E4" s="16">
        <v>2800</v>
      </c>
      <c r="F4" s="17">
        <v>1998</v>
      </c>
      <c r="G4" s="16">
        <v>1631</v>
      </c>
      <c r="H4" s="16">
        <v>2772</v>
      </c>
      <c r="I4" s="16">
        <v>2233</v>
      </c>
      <c r="J4" s="16">
        <v>2458</v>
      </c>
      <c r="K4" s="16">
        <v>2434</v>
      </c>
      <c r="L4" s="16">
        <v>2403</v>
      </c>
      <c r="M4" s="14">
        <f>SUM(D4:L4)</f>
        <v>21361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</row>
    <row r="5" spans="1:50" ht="15" customHeight="1">
      <c r="A5" s="26"/>
      <c r="B5" s="21" t="s">
        <v>4</v>
      </c>
      <c r="C5" s="22"/>
      <c r="D5" s="16">
        <v>835</v>
      </c>
      <c r="E5" s="16">
        <v>954</v>
      </c>
      <c r="F5" s="16">
        <v>516</v>
      </c>
      <c r="G5" s="16">
        <v>803</v>
      </c>
      <c r="H5" s="16">
        <v>1413</v>
      </c>
      <c r="I5" s="16">
        <v>832</v>
      </c>
      <c r="J5" s="16">
        <v>1054</v>
      </c>
      <c r="K5" s="16">
        <v>928</v>
      </c>
      <c r="L5" s="16">
        <v>1079</v>
      </c>
      <c r="M5" s="14">
        <f>SUM(D5:L5)</f>
        <v>8414</v>
      </c>
    </row>
    <row r="6" spans="1:50" ht="15" customHeight="1">
      <c r="A6" s="26"/>
      <c r="B6" s="21" t="s">
        <v>5</v>
      </c>
      <c r="C6" s="22"/>
      <c r="D6" s="4">
        <f t="shared" ref="D6:M6" si="0">D5/D4</f>
        <v>0.31724924012158057</v>
      </c>
      <c r="E6" s="4">
        <f t="shared" si="0"/>
        <v>0.34071428571428569</v>
      </c>
      <c r="F6" s="4">
        <f t="shared" si="0"/>
        <v>0.25825825825825827</v>
      </c>
      <c r="G6" s="4">
        <f t="shared" si="0"/>
        <v>0.49233599019006746</v>
      </c>
      <c r="H6" s="4">
        <f t="shared" si="0"/>
        <v>0.50974025974025972</v>
      </c>
      <c r="I6" s="4">
        <f t="shared" si="0"/>
        <v>0.37259292431706226</v>
      </c>
      <c r="J6" s="4">
        <f t="shared" si="0"/>
        <v>0.42880390561432058</v>
      </c>
      <c r="K6" s="4">
        <f t="shared" si="0"/>
        <v>0.38126540673788001</v>
      </c>
      <c r="L6" s="4">
        <f t="shared" si="0"/>
        <v>0.4490220557636288</v>
      </c>
      <c r="M6" s="4">
        <f t="shared" si="0"/>
        <v>0.39389541688123214</v>
      </c>
    </row>
    <row r="7" spans="1:50" ht="15" customHeight="1">
      <c r="A7" s="27"/>
      <c r="B7" s="2" t="s">
        <v>6</v>
      </c>
      <c r="C7" s="5" t="s">
        <v>7</v>
      </c>
      <c r="D7" s="6"/>
      <c r="E7" s="7"/>
      <c r="F7" s="7"/>
      <c r="G7" s="7"/>
      <c r="H7" s="7"/>
      <c r="I7" s="7"/>
      <c r="J7" s="7"/>
      <c r="K7" s="7"/>
      <c r="L7" s="7"/>
      <c r="M7" s="14"/>
    </row>
    <row r="8" spans="1:50" ht="15" customHeight="1">
      <c r="A8" s="36">
        <v>1</v>
      </c>
      <c r="B8" s="37" t="s">
        <v>33</v>
      </c>
      <c r="C8" s="32" t="s">
        <v>18</v>
      </c>
      <c r="D8" s="17">
        <v>212</v>
      </c>
      <c r="E8" s="16">
        <v>214</v>
      </c>
      <c r="F8" s="16">
        <v>138</v>
      </c>
      <c r="G8" s="17">
        <v>21</v>
      </c>
      <c r="H8" s="16">
        <v>73</v>
      </c>
      <c r="I8" s="16">
        <v>208</v>
      </c>
      <c r="J8" s="16">
        <v>63</v>
      </c>
      <c r="K8" s="16">
        <v>155</v>
      </c>
      <c r="L8" s="16">
        <v>36</v>
      </c>
      <c r="M8" s="14">
        <f>SUM(D8:L8)</f>
        <v>1120</v>
      </c>
      <c r="N8" s="30"/>
      <c r="O8" s="30"/>
      <c r="P8" s="30"/>
      <c r="Q8" s="30"/>
      <c r="R8" s="30"/>
      <c r="S8" s="30"/>
      <c r="T8" s="30"/>
    </row>
    <row r="9" spans="1:50" ht="15" customHeight="1">
      <c r="A9" s="36">
        <v>2</v>
      </c>
      <c r="B9" s="34" t="s">
        <v>20</v>
      </c>
      <c r="C9" s="32" t="s">
        <v>23</v>
      </c>
      <c r="D9" s="16">
        <v>542</v>
      </c>
      <c r="E9" s="17">
        <v>619</v>
      </c>
      <c r="F9" s="16">
        <v>316</v>
      </c>
      <c r="G9" s="16">
        <v>757</v>
      </c>
      <c r="H9" s="16">
        <v>1283</v>
      </c>
      <c r="I9" s="16">
        <v>557</v>
      </c>
      <c r="J9" s="16">
        <v>931</v>
      </c>
      <c r="K9" s="16">
        <v>721</v>
      </c>
      <c r="L9" s="16">
        <v>1028</v>
      </c>
      <c r="M9" s="14">
        <f>SUM(D9:L9)</f>
        <v>6754</v>
      </c>
      <c r="N9" s="30"/>
      <c r="O9" s="30"/>
      <c r="P9" s="30"/>
      <c r="Q9" s="30"/>
      <c r="R9" s="30"/>
      <c r="S9" s="30"/>
      <c r="T9" s="30"/>
    </row>
    <row r="10" spans="1:50" ht="15" customHeight="1">
      <c r="A10" s="36">
        <v>3</v>
      </c>
      <c r="B10" s="34" t="s">
        <v>21</v>
      </c>
      <c r="C10" s="32" t="s">
        <v>24</v>
      </c>
      <c r="D10" s="16">
        <v>14</v>
      </c>
      <c r="E10" s="16">
        <v>29</v>
      </c>
      <c r="F10" s="16">
        <v>22</v>
      </c>
      <c r="G10" s="17">
        <v>6</v>
      </c>
      <c r="H10" s="17">
        <v>13</v>
      </c>
      <c r="I10" s="16">
        <v>23</v>
      </c>
      <c r="J10" s="16">
        <v>13</v>
      </c>
      <c r="K10" s="16">
        <v>16</v>
      </c>
      <c r="L10" s="16">
        <v>7</v>
      </c>
      <c r="M10" s="14">
        <f>SUM(D10:L10)</f>
        <v>143</v>
      </c>
      <c r="N10" s="30"/>
      <c r="O10" s="30"/>
      <c r="P10" s="30"/>
      <c r="Q10" s="30"/>
      <c r="R10" s="30"/>
      <c r="S10" s="30"/>
      <c r="T10" s="30"/>
    </row>
    <row r="11" spans="1:50" ht="15" customHeight="1">
      <c r="A11" s="36">
        <v>4</v>
      </c>
      <c r="B11" s="34" t="s">
        <v>22</v>
      </c>
      <c r="C11" s="32" t="s">
        <v>17</v>
      </c>
      <c r="D11" s="17">
        <v>67</v>
      </c>
      <c r="E11" s="16">
        <v>92</v>
      </c>
      <c r="F11" s="16">
        <v>40</v>
      </c>
      <c r="G11" s="16">
        <v>19</v>
      </c>
      <c r="H11" s="16">
        <v>44</v>
      </c>
      <c r="I11" s="16">
        <v>44</v>
      </c>
      <c r="J11" s="16">
        <v>47</v>
      </c>
      <c r="K11" s="16">
        <v>36</v>
      </c>
      <c r="L11" s="16">
        <v>10</v>
      </c>
      <c r="M11" s="14">
        <f>SUM(D11:L11)</f>
        <v>399</v>
      </c>
      <c r="N11" s="30"/>
      <c r="O11" s="30"/>
      <c r="P11" s="30"/>
      <c r="Q11" s="30"/>
      <c r="R11" s="30"/>
      <c r="S11" s="30"/>
      <c r="T11" s="30"/>
    </row>
    <row r="12" spans="1:50" ht="15" customHeight="1">
      <c r="A12" s="23" t="s">
        <v>8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2"/>
    </row>
    <row r="13" spans="1:50" ht="15" customHeight="1">
      <c r="A13" s="20"/>
      <c r="B13" s="20" t="s">
        <v>6</v>
      </c>
      <c r="C13" s="20" t="s">
        <v>7</v>
      </c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2"/>
    </row>
    <row r="14" spans="1:50" ht="15" customHeight="1">
      <c r="A14" s="31">
        <v>1</v>
      </c>
      <c r="B14" s="33" t="s">
        <v>33</v>
      </c>
      <c r="C14" s="32" t="s">
        <v>18</v>
      </c>
      <c r="D14" s="18">
        <f>D8/D5</f>
        <v>0.25389221556886227</v>
      </c>
      <c r="E14" s="18">
        <f>E8/E5</f>
        <v>0.22431865828092243</v>
      </c>
      <c r="F14" s="18">
        <f>F8/F5</f>
        <v>0.26744186046511625</v>
      </c>
      <c r="G14" s="18">
        <f>G8/G5</f>
        <v>2.6151930261519303E-2</v>
      </c>
      <c r="H14" s="18">
        <f>H8/H5</f>
        <v>5.1663128096249115E-2</v>
      </c>
      <c r="I14" s="18">
        <f>I8/I5</f>
        <v>0.25</v>
      </c>
      <c r="J14" s="18">
        <f>J8/J5</f>
        <v>5.9772296015180262E-2</v>
      </c>
      <c r="K14" s="18">
        <f>K8/K5</f>
        <v>0.16702586206896552</v>
      </c>
      <c r="L14" s="18">
        <f>L8/L5</f>
        <v>3.3364226135310475E-2</v>
      </c>
      <c r="M14" s="18">
        <f>M8/M5</f>
        <v>0.13311148086522462</v>
      </c>
      <c r="N14" s="30"/>
      <c r="O14" s="30"/>
      <c r="P14" s="30"/>
      <c r="Q14" s="30"/>
      <c r="R14" s="30"/>
      <c r="S14" s="30"/>
      <c r="T14" s="30"/>
    </row>
    <row r="15" spans="1:50" ht="15" customHeight="1">
      <c r="A15" s="31">
        <v>2</v>
      </c>
      <c r="B15" s="34" t="s">
        <v>20</v>
      </c>
      <c r="C15" s="19" t="s">
        <v>23</v>
      </c>
      <c r="D15" s="8">
        <f>D9/D5</f>
        <v>0.64910179640718568</v>
      </c>
      <c r="E15" s="8">
        <f t="shared" ref="E15:M15" si="1">E9/E5</f>
        <v>0.64884696016771493</v>
      </c>
      <c r="F15" s="8">
        <f t="shared" si="1"/>
        <v>0.61240310077519378</v>
      </c>
      <c r="G15" s="8">
        <f t="shared" si="1"/>
        <v>0.94271481942714819</v>
      </c>
      <c r="H15" s="8">
        <f t="shared" si="1"/>
        <v>0.90799716914366591</v>
      </c>
      <c r="I15" s="8">
        <f t="shared" si="1"/>
        <v>0.66947115384615385</v>
      </c>
      <c r="J15" s="8">
        <f t="shared" si="1"/>
        <v>0.88330170777988615</v>
      </c>
      <c r="K15" s="8">
        <f t="shared" si="1"/>
        <v>0.77693965517241381</v>
      </c>
      <c r="L15" s="8">
        <f t="shared" si="1"/>
        <v>0.95273401297497684</v>
      </c>
      <c r="M15" s="8">
        <f t="shared" si="1"/>
        <v>0.8027097694318992</v>
      </c>
      <c r="N15" s="30"/>
      <c r="O15" s="30"/>
      <c r="P15" s="30"/>
      <c r="Q15" s="30"/>
      <c r="R15" s="30"/>
      <c r="S15" s="30"/>
      <c r="T15" s="30"/>
    </row>
    <row r="16" spans="1:50" ht="15" customHeight="1">
      <c r="A16" s="31">
        <v>3</v>
      </c>
      <c r="B16" s="34" t="s">
        <v>21</v>
      </c>
      <c r="C16" s="19" t="s">
        <v>24</v>
      </c>
      <c r="D16" s="8">
        <f>D10/D5</f>
        <v>1.6766467065868262E-2</v>
      </c>
      <c r="E16" s="8">
        <f t="shared" ref="E16:L17" si="2">E10/E5</f>
        <v>3.0398322851153039E-2</v>
      </c>
      <c r="F16" s="8">
        <f t="shared" si="2"/>
        <v>4.2635658914728682E-2</v>
      </c>
      <c r="G16" s="8">
        <f t="shared" si="2"/>
        <v>7.4719800747198011E-3</v>
      </c>
      <c r="H16" s="8">
        <f t="shared" si="2"/>
        <v>9.200283085633405E-3</v>
      </c>
      <c r="I16" s="8">
        <f t="shared" si="2"/>
        <v>2.7644230769230768E-2</v>
      </c>
      <c r="J16" s="8">
        <f t="shared" si="2"/>
        <v>1.2333965844402278E-2</v>
      </c>
      <c r="K16" s="8">
        <f t="shared" si="2"/>
        <v>1.7241379310344827E-2</v>
      </c>
      <c r="L16" s="8">
        <f t="shared" si="2"/>
        <v>6.4874884151992582E-3</v>
      </c>
      <c r="M16" s="8">
        <f>M10/M5</f>
        <v>1.6995483717613502E-2</v>
      </c>
      <c r="N16" s="30"/>
      <c r="O16" s="30"/>
      <c r="P16" s="30"/>
      <c r="Q16" s="30"/>
      <c r="R16" s="30"/>
      <c r="S16" s="30"/>
      <c r="T16" s="30"/>
    </row>
    <row r="17" spans="1:20" ht="15" customHeight="1">
      <c r="A17" s="31">
        <v>4</v>
      </c>
      <c r="B17" s="34" t="s">
        <v>22</v>
      </c>
      <c r="C17" s="19" t="s">
        <v>17</v>
      </c>
      <c r="D17" s="8">
        <f>D11/D5</f>
        <v>8.0239520958083829E-2</v>
      </c>
      <c r="E17" s="8">
        <f t="shared" ref="E17:M17" si="3">E11/E5</f>
        <v>9.6436058700209645E-2</v>
      </c>
      <c r="F17" s="8">
        <f t="shared" si="3"/>
        <v>7.7519379844961239E-2</v>
      </c>
      <c r="G17" s="8">
        <f t="shared" si="3"/>
        <v>2.3661270236612703E-2</v>
      </c>
      <c r="H17" s="8">
        <f t="shared" si="3"/>
        <v>3.113941967445152E-2</v>
      </c>
      <c r="I17" s="8">
        <f t="shared" si="3"/>
        <v>5.2884615384615384E-2</v>
      </c>
      <c r="J17" s="8">
        <f t="shared" si="3"/>
        <v>4.4592030360531311E-2</v>
      </c>
      <c r="K17" s="8">
        <f t="shared" si="3"/>
        <v>3.8793103448275863E-2</v>
      </c>
      <c r="L17" s="8">
        <f t="shared" si="3"/>
        <v>9.2678405931417972E-3</v>
      </c>
      <c r="M17" s="8">
        <f t="shared" si="3"/>
        <v>4.7420965058236272E-2</v>
      </c>
      <c r="N17" s="30"/>
      <c r="O17" s="30"/>
      <c r="P17" s="30"/>
      <c r="Q17" s="30"/>
      <c r="R17" s="30"/>
      <c r="S17" s="30"/>
      <c r="T17" s="30"/>
    </row>
    <row r="18" spans="1:20" ht="15" customHeight="1">
      <c r="B18" s="35"/>
      <c r="E18" s="7"/>
    </row>
    <row r="19" spans="1:20" ht="15" customHeight="1">
      <c r="A19" s="25" t="s">
        <v>9</v>
      </c>
      <c r="B19" s="24"/>
      <c r="C19" s="24"/>
      <c r="D19" s="22"/>
      <c r="E19" s="7"/>
      <c r="G19" s="10"/>
      <c r="H19" s="11"/>
    </row>
    <row r="20" spans="1:20" ht="15" customHeight="1">
      <c r="A20" s="9" t="s">
        <v>10</v>
      </c>
      <c r="B20" s="9" t="s">
        <v>11</v>
      </c>
      <c r="C20" s="9" t="s">
        <v>12</v>
      </c>
      <c r="D20" s="9" t="s">
        <v>13</v>
      </c>
      <c r="E20" s="7"/>
      <c r="G20" s="12" t="s">
        <v>14</v>
      </c>
      <c r="H20" s="12" t="s">
        <v>15</v>
      </c>
    </row>
    <row r="21" spans="1:20" ht="15" customHeight="1">
      <c r="A21" s="13">
        <f>_xlfn.STDEV.P(D6:L6)</f>
        <v>7.8229754747002014E-2</v>
      </c>
      <c r="B21" s="13">
        <f>AVERAGE(D6:L6)</f>
        <v>0.39444248071748256</v>
      </c>
      <c r="C21" s="13">
        <f>B21-A21</f>
        <v>0.31621272597048056</v>
      </c>
      <c r="D21" s="13">
        <f>B21+A21</f>
        <v>0.47267223546448456</v>
      </c>
    </row>
    <row r="22" spans="1:20" ht="15" customHeight="1">
      <c r="A22" s="25" t="s">
        <v>8</v>
      </c>
      <c r="B22" s="24"/>
      <c r="C22" s="24"/>
      <c r="D22" s="24"/>
      <c r="E22" s="22"/>
    </row>
    <row r="23" spans="1:20" ht="15" customHeight="1">
      <c r="A23" s="9" t="s">
        <v>16</v>
      </c>
      <c r="B23" s="9" t="s">
        <v>10</v>
      </c>
      <c r="C23" s="9" t="s">
        <v>11</v>
      </c>
      <c r="D23" s="9" t="s">
        <v>12</v>
      </c>
      <c r="E23" s="9" t="s">
        <v>13</v>
      </c>
    </row>
    <row r="24" spans="1:20" ht="15" customHeight="1">
      <c r="A24" s="33" t="s">
        <v>33</v>
      </c>
      <c r="B24" s="8">
        <f>_xlfn.STDEV.P(D14:L14)</f>
        <v>9.8388672840995464E-2</v>
      </c>
      <c r="C24" s="8">
        <f>AVERAGE(D14:L14)</f>
        <v>0.14818113076579173</v>
      </c>
      <c r="D24" s="8">
        <f>C24-B24</f>
        <v>4.9792457924796266E-2</v>
      </c>
      <c r="E24" s="8">
        <f>C24+B24</f>
        <v>0.24656980360678721</v>
      </c>
    </row>
    <row r="25" spans="1:20" ht="15" customHeight="1">
      <c r="A25" s="34" t="s">
        <v>20</v>
      </c>
      <c r="B25" s="8">
        <f>_xlfn.STDEV.P(D15:L15)</f>
        <v>0.13247910789791012</v>
      </c>
      <c r="C25" s="8">
        <f>AVERAGE(D15:L15)</f>
        <v>0.78261226396603778</v>
      </c>
      <c r="D25" s="8">
        <f>C25-B25</f>
        <v>0.6501331560681276</v>
      </c>
      <c r="E25" s="8">
        <f>C25+B25</f>
        <v>0.91509137186394796</v>
      </c>
    </row>
    <row r="26" spans="1:20" ht="15" customHeight="1">
      <c r="A26" s="34" t="s">
        <v>21</v>
      </c>
      <c r="B26" s="8">
        <f>_xlfn.STDEV.P(D16:L16)</f>
        <v>1.1552893713942303E-2</v>
      </c>
      <c r="C26" s="8">
        <f>AVERAGE(D16:L16)</f>
        <v>1.8908864036808925E-2</v>
      </c>
      <c r="D26" s="8">
        <f>C26-B26</f>
        <v>7.3559703228666222E-3</v>
      </c>
      <c r="E26" s="8">
        <f>C26+B26</f>
        <v>3.0461757750751228E-2</v>
      </c>
    </row>
    <row r="27" spans="1:20" ht="15" customHeight="1">
      <c r="A27" s="34" t="s">
        <v>22</v>
      </c>
      <c r="B27" s="8">
        <f>_xlfn.STDEV.P(D17:L17)</f>
        <v>2.7279397472256391E-2</v>
      </c>
      <c r="C27" s="8">
        <f>AVERAGE(D17:L17)</f>
        <v>5.0503693244542583E-2</v>
      </c>
      <c r="D27" s="8">
        <f>C27-B27</f>
        <v>2.3224295772286192E-2</v>
      </c>
      <c r="E27" s="8">
        <f>C27+B27</f>
        <v>7.778309071679898E-2</v>
      </c>
    </row>
    <row r="28" spans="1:20" ht="15" customHeight="1"/>
    <row r="29" spans="1:20" ht="15" customHeight="1"/>
    <row r="30" spans="1:20" ht="49.95" customHeight="1"/>
    <row r="31" spans="1:20" ht="49.95" customHeight="1"/>
    <row r="32" spans="1:20" ht="49.95" customHeight="1"/>
    <row r="33" ht="49.95" customHeight="1"/>
    <row r="34" ht="49.95" customHeight="1"/>
    <row r="63" ht="55.2" customHeight="1"/>
    <row r="64" ht="27.6" customHeight="1"/>
    <row r="66" ht="55.2" customHeight="1"/>
  </sheetData>
  <mergeCells count="11">
    <mergeCell ref="B6:C6"/>
    <mergeCell ref="A12:T12"/>
    <mergeCell ref="D13:T13"/>
    <mergeCell ref="A19:D19"/>
    <mergeCell ref="A22:E22"/>
    <mergeCell ref="A1:A7"/>
    <mergeCell ref="B1:T1"/>
    <mergeCell ref="B2:T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Мещанский одномандат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Осипов</cp:lastModifiedBy>
  <dcterms:created xsi:type="dcterms:W3CDTF">2026-03-04T02:42:00Z</dcterms:created>
  <dcterms:modified xsi:type="dcterms:W3CDTF">2026-03-11T18:03:56Z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8A290DE2AAEB4A3EA8A69DE26DB8B44E_13</vt:lpwstr>
  </property>
  <property fmtid="{D5CDD505-2E9C-101B-9397-08002B2CF9AE}" pid="3" name="KSOProductBuildVer">
    <vt:lpwstr>1049-12.2.0.23196</vt:lpwstr>
  </property>
</Properties>
</file>