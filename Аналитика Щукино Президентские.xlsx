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ksim\Desktop\Новые Люди\"/>
    </mc:Choice>
  </mc:AlternateContent>
  <xr:revisionPtr revIDLastSave="0" documentId="13_ncr:1_{08428FED-2652-47A9-A1AC-16D2F474E8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D14" i="1"/>
  <c r="AE14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D15" i="1"/>
  <c r="AE15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D16" i="1"/>
  <c r="AE16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D17" i="1"/>
  <c r="AE17" i="1"/>
  <c r="M14" i="1"/>
  <c r="M15" i="1"/>
  <c r="M16" i="1"/>
  <c r="M17" i="1"/>
  <c r="AE5" i="1"/>
  <c r="AE7" i="1"/>
  <c r="AE8" i="1"/>
  <c r="AE9" i="1"/>
  <c r="AE10" i="1"/>
  <c r="AE11" i="1"/>
  <c r="AE4" i="1"/>
  <c r="AD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E17" i="1"/>
  <c r="F17" i="1"/>
  <c r="G17" i="1"/>
  <c r="H17" i="1"/>
  <c r="I17" i="1"/>
  <c r="J17" i="1"/>
  <c r="K17" i="1"/>
  <c r="L17" i="1"/>
  <c r="D17" i="1"/>
  <c r="D16" i="1"/>
  <c r="E15" i="1"/>
  <c r="F15" i="1"/>
  <c r="G15" i="1"/>
  <c r="H15" i="1"/>
  <c r="I15" i="1"/>
  <c r="J15" i="1"/>
  <c r="K15" i="1"/>
  <c r="L15" i="1"/>
  <c r="D15" i="1"/>
  <c r="E16" i="1"/>
  <c r="F16" i="1"/>
  <c r="G16" i="1"/>
  <c r="H16" i="1"/>
  <c r="I16" i="1"/>
  <c r="J16" i="1"/>
  <c r="K16" i="1"/>
  <c r="L16" i="1"/>
  <c r="E14" i="1"/>
  <c r="F14" i="1"/>
  <c r="G14" i="1"/>
  <c r="H14" i="1"/>
  <c r="I14" i="1"/>
  <c r="J14" i="1"/>
  <c r="K14" i="1"/>
  <c r="L14" i="1"/>
  <c r="D14" i="1"/>
  <c r="D6" i="1"/>
  <c r="E6" i="1"/>
  <c r="F6" i="1"/>
  <c r="G6" i="1"/>
  <c r="H6" i="1"/>
  <c r="I6" i="1"/>
  <c r="J6" i="1"/>
  <c r="K6" i="1"/>
  <c r="L6" i="1"/>
  <c r="AE6" i="1" l="1"/>
  <c r="B25" i="1"/>
  <c r="B27" i="1"/>
  <c r="C27" i="1"/>
  <c r="C24" i="1"/>
  <c r="C25" i="1"/>
  <c r="C26" i="1"/>
  <c r="B24" i="1"/>
  <c r="B26" i="1"/>
  <c r="A21" i="1"/>
  <c r="B21" i="1"/>
  <c r="D27" i="1" l="1"/>
  <c r="D25" i="1"/>
  <c r="E27" i="1"/>
  <c r="E26" i="1"/>
  <c r="E25" i="1"/>
  <c r="E24" i="1"/>
  <c r="D24" i="1"/>
  <c r="D26" i="1"/>
  <c r="D21" i="1"/>
  <c r="C21" i="1"/>
</calcChain>
</file>

<file path=xl/sharedStrings.xml><?xml version="1.0" encoding="utf-8"?>
<sst xmlns="http://schemas.openxmlformats.org/spreadsheetml/2006/main" count="71" uniqueCount="52">
  <si>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</si>
  <si>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</si>
  <si>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</si>
  <si>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</si>
  <si>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</si>
  <si>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</si>
  <si>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</si>
  <si>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</si>
  <si>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</si>
  <si>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</si>
  <si>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</si>
  <si>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</si>
  <si>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</si>
  <si>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</si>
  <si>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</si>
  <si>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КПРФ</t>
  </si>
  <si>
    <t>Новые Люди</t>
  </si>
  <si>
    <t>Путин Владимир Владимирович</t>
  </si>
  <si>
    <t>Слуцкий Леонид Эдуардович</t>
  </si>
  <si>
    <t>Харитонов Николай Михайлович</t>
  </si>
  <si>
    <t>Самовыджвиженец</t>
  </si>
  <si>
    <t>ЛДПР</t>
  </si>
  <si>
    <t xml:space="preserve">     Даванков Владислав Андреевич</t>
  </si>
  <si>
    <t>Щукино</t>
  </si>
  <si>
    <t>УИК №3112</t>
  </si>
  <si>
    <t>УИК №3113</t>
  </si>
  <si>
    <t>УИК №3114</t>
  </si>
  <si>
    <t>УИК №3115</t>
  </si>
  <si>
    <t>УИК №3117</t>
  </si>
  <si>
    <t>УИК №3121</t>
  </si>
  <si>
    <t>УИК №3122</t>
  </si>
  <si>
    <t>УИК №3123</t>
  </si>
  <si>
    <t>УИК №3124</t>
  </si>
  <si>
    <t>УИК №3125</t>
  </si>
  <si>
    <t>УИК №3126</t>
  </si>
  <si>
    <t>УИК №3129</t>
  </si>
  <si>
    <t>УИК №3131</t>
  </si>
  <si>
    <t>УИК №3132</t>
  </si>
  <si>
    <t>УИК №3133</t>
  </si>
  <si>
    <t>УИК №3137</t>
  </si>
  <si>
    <t>УИК №3139</t>
  </si>
  <si>
    <t>УИК №3780</t>
  </si>
  <si>
    <t>УИК №3781</t>
  </si>
  <si>
    <t>УИК №3782</t>
  </si>
  <si>
    <t>УИК №3783</t>
  </si>
  <si>
    <t>УИК №3784</t>
  </si>
  <si>
    <t>УИК №3785</t>
  </si>
  <si>
    <t>УИК №3786</t>
  </si>
  <si>
    <t>УИК №3787</t>
  </si>
  <si>
    <t>УИК №3788</t>
  </si>
  <si>
    <t>УИК №3798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</si>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</sst>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5" formatCode="_-* #\ ##0_-;\-* #\ ##0_-;_-* &quot;-&quot;??_-;_-@_-"/>
  </numFmts>
  <fonts count="9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494845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/>
    <xf numFmtId="164" fontId="5" fillId="0" borderId="0"/>
    <xf numFmtId="0" fontId="6" fillId="0" borderId="0"/>
  </cellStyleXfs>
  <cellXfs count="48">
    <xf numFmtId="0" fontId="0" fillId="0" borderId="0" xfId="0"/>
    <xf numFmtId="0" fontId="1" fillId="0" borderId="0" xfId="0" applyFont="1"/>
    <xf numFmtId="0" fontId="2" fillId="0" borderId="1" xfId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65" fontId="2" fillId="0" borderId="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5" fontId="1" fillId="0" borderId="0" xfId="2" applyNumberFormat="1" applyFont="1"/>
    <xf numFmtId="0" fontId="7" fillId="4" borderId="1" xfId="3" applyFont="1" applyFill="1" applyBorder="1" applyAlignment="1">
      <alignment horizontal="right" vertical="center" wrapText="1" indent="2"/>
    </xf>
    <xf numFmtId="0" fontId="8" fillId="4" borderId="1" xfId="3" applyFont="1" applyFill="1" applyBorder="1" applyAlignment="1">
      <alignment horizontal="right" vertical="center" wrapText="1" indent="2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center" wrapText="1" indent="2"/>
    </xf>
    <xf numFmtId="0" fontId="1" fillId="0" borderId="1" xfId="0" applyFont="1" applyBorder="1"/>
    <xf numFmtId="0" fontId="2" fillId="0" borderId="9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0" borderId="0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31000000}"/>
    <cellStyle name="Обычный 3" xfId="3" xr:uid="{EAA020A7-86E1-4CA8-A5DC-8C75D86398D8}"/>
    <cellStyle name="Финансовый 2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6"/>
  <sheetViews>
    <sheetView tabSelected="1" workbookViewId="0">
      <selection activeCell="G26" sqref="G26"/>
    </sheetView>
  </sheetViews>
  <sheetFormatPr defaultColWidth="8.7109375" defaultRowHeight="13.5"/>
  <cols>
    <col min="1" max="1" width="14.28515625" style="1" customWidth="1"/>
    <col min="2" max="2" width="50.7109375" style="1" customWidth="1"/>
    <col min="3" max="3" width="25.7109375" style="1" customWidth="1"/>
    <col min="4" max="20" width="20.7109375" style="1" customWidth="1"/>
    <col min="21" max="21" width="18.140625" style="1" customWidth="1"/>
    <col min="22" max="22" width="18" style="1" customWidth="1"/>
    <col min="23" max="23" width="20.42578125" style="1" customWidth="1"/>
    <col min="24" max="24" width="18.28515625" style="1" customWidth="1"/>
    <col min="25" max="25" width="19.28515625" style="1" customWidth="1"/>
    <col min="26" max="26" width="19.7109375" style="1" customWidth="1"/>
    <col min="27" max="27" width="19.5703125" style="1" customWidth="1"/>
    <col min="28" max="28" width="18" style="1" customWidth="1"/>
    <col min="29" max="29" width="19.28515625" style="1" customWidth="1"/>
    <col min="30" max="30" width="19.140625" style="1" customWidth="1"/>
    <col min="31" max="31" width="19.28515625" style="1" customWidth="1"/>
    <col min="32" max="32" width="19" style="1" customWidth="1"/>
    <col min="33" max="33" width="21.85546875" style="1" customWidth="1"/>
    <col min="34" max="34" width="20.42578125" style="1" customWidth="1"/>
    <col min="35" max="35" width="18.42578125" style="1" customWidth="1"/>
    <col min="36" max="36" width="13.42578125" style="1" customWidth="1"/>
    <col min="37" max="37" width="13.7109375" style="1" customWidth="1"/>
    <col min="38" max="38" width="12.7109375" style="1" customWidth="1"/>
    <col min="39" max="39" width="13.42578125" style="1" customWidth="1"/>
    <col min="40" max="41" width="13.28515625" style="1" customWidth="1"/>
    <col min="42" max="42" width="13.7109375" style="1" customWidth="1"/>
    <col min="43" max="43" width="13.42578125" style="1" customWidth="1"/>
    <col min="44" max="44" width="12.7109375" style="1" customWidth="1"/>
    <col min="45" max="45" width="13.28515625" style="1" customWidth="1"/>
    <col min="46" max="46" width="12.7109375" style="1" customWidth="1"/>
    <col min="47" max="47" width="13.28515625" style="1" customWidth="1"/>
    <col min="48" max="48" width="12.42578125" style="1" customWidth="1"/>
    <col min="49" max="49" width="13.140625" style="1" customWidth="1"/>
    <col min="50" max="50" width="12.7109375" style="1" customWidth="1"/>
    <col min="51" max="51" width="14.140625" style="1" customWidth="1"/>
    <col min="52" max="52" width="12.7109375" style="1" customWidth="1"/>
    <col min="53" max="58" width="12.42578125" style="1" customWidth="1"/>
    <col min="59" max="87" width="11" style="1" customWidth="1"/>
    <col min="88" max="88" width="11.42578125" style="1" customWidth="1"/>
    <col min="89" max="96" width="11" style="1" customWidth="1"/>
    <col min="97" max="97" width="8.7109375" style="1" customWidth="1"/>
    <col min="98" max="16384" width="8.7109375" style="1"/>
  </cols>
  <sheetData>
    <row r="1" spans="1:45" ht="15" customHeight="1">
      <c r="A1" s="31"/>
      <c r="B1" s="39" t="s">
        <v>23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1"/>
      <c r="AF1" s="28"/>
      <c r="AG1" s="29"/>
      <c r="AH1" s="29"/>
      <c r="AI1" s="29"/>
      <c r="AJ1" s="30"/>
    </row>
    <row r="2" spans="1:45" ht="15" customHeight="1">
      <c r="A2" s="35"/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1"/>
      <c r="AF2" s="28"/>
      <c r="AG2" s="28"/>
      <c r="AH2" s="28"/>
      <c r="AI2" s="28"/>
      <c r="AJ2" s="28"/>
    </row>
    <row r="3" spans="1:45" ht="15" customHeight="1">
      <c r="A3" s="35"/>
      <c r="B3" s="37"/>
      <c r="C3" s="38"/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14" t="s">
        <v>33</v>
      </c>
      <c r="N3" s="14" t="s">
        <v>34</v>
      </c>
      <c r="O3" s="14" t="s">
        <v>35</v>
      </c>
      <c r="P3" s="14" t="s">
        <v>36</v>
      </c>
      <c r="Q3" s="14" t="s">
        <v>37</v>
      </c>
      <c r="R3" s="14" t="s">
        <v>38</v>
      </c>
      <c r="S3" s="14" t="s">
        <v>39</v>
      </c>
      <c r="T3" s="14" t="s">
        <v>40</v>
      </c>
      <c r="U3" s="14" t="s">
        <v>41</v>
      </c>
      <c r="V3" s="14" t="s">
        <v>42</v>
      </c>
      <c r="W3" s="14" t="s">
        <v>43</v>
      </c>
      <c r="X3" s="14" t="s">
        <v>44</v>
      </c>
      <c r="Y3" s="14" t="s">
        <v>45</v>
      </c>
      <c r="Z3" s="14" t="s">
        <v>46</v>
      </c>
      <c r="AA3" s="14" t="s">
        <v>47</v>
      </c>
      <c r="AB3" s="14" t="s">
        <v>48</v>
      </c>
      <c r="AC3" s="14" t="s">
        <v>49</v>
      </c>
      <c r="AD3" s="14" t="s">
        <v>50</v>
      </c>
      <c r="AE3" s="3" t="s">
        <v>0</v>
      </c>
    </row>
    <row r="4" spans="1:45" ht="15" customHeight="1">
      <c r="A4" s="35"/>
      <c r="B4" s="31" t="s">
        <v>1</v>
      </c>
      <c r="C4" s="32"/>
      <c r="D4" s="16">
        <v>1929</v>
      </c>
      <c r="E4" s="16">
        <v>2460</v>
      </c>
      <c r="F4" s="17">
        <v>2770</v>
      </c>
      <c r="G4" s="16">
        <v>2662</v>
      </c>
      <c r="H4" s="16">
        <v>3032</v>
      </c>
      <c r="I4" s="16">
        <v>1859</v>
      </c>
      <c r="J4" s="16">
        <v>2130</v>
      </c>
      <c r="K4" s="16">
        <v>2352</v>
      </c>
      <c r="L4" s="16">
        <v>1593</v>
      </c>
      <c r="M4" s="16">
        <v>1531</v>
      </c>
      <c r="N4" s="16">
        <v>2601</v>
      </c>
      <c r="O4" s="16">
        <v>2244</v>
      </c>
      <c r="P4" s="16">
        <v>2131</v>
      </c>
      <c r="Q4" s="16">
        <v>2258</v>
      </c>
      <c r="R4" s="16">
        <v>2515</v>
      </c>
      <c r="S4" s="16">
        <v>2545</v>
      </c>
      <c r="T4" s="16">
        <v>2884</v>
      </c>
      <c r="U4" s="16">
        <v>181</v>
      </c>
      <c r="V4" s="16">
        <v>5</v>
      </c>
      <c r="W4" s="16">
        <v>38</v>
      </c>
      <c r="X4" s="16">
        <v>36</v>
      </c>
      <c r="Y4" s="16">
        <v>25</v>
      </c>
      <c r="Z4" s="16">
        <v>113</v>
      </c>
      <c r="AA4" s="16">
        <v>59</v>
      </c>
      <c r="AB4" s="16">
        <v>5</v>
      </c>
      <c r="AC4" s="16">
        <v>0</v>
      </c>
      <c r="AD4" s="16">
        <v>2</v>
      </c>
      <c r="AE4" s="14">
        <f>SUM(D4:AD4)</f>
        <v>39960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ht="15" customHeight="1">
      <c r="A5" s="35"/>
      <c r="B5" s="31" t="s">
        <v>2</v>
      </c>
      <c r="C5" s="32"/>
      <c r="D5" s="16">
        <v>683</v>
      </c>
      <c r="E5" s="16">
        <v>786</v>
      </c>
      <c r="F5" s="16">
        <v>1380</v>
      </c>
      <c r="G5" s="16">
        <v>829</v>
      </c>
      <c r="H5" s="16">
        <v>1223</v>
      </c>
      <c r="I5" s="16">
        <v>684</v>
      </c>
      <c r="J5" s="16">
        <v>646</v>
      </c>
      <c r="K5" s="16">
        <v>827</v>
      </c>
      <c r="L5" s="16">
        <v>651</v>
      </c>
      <c r="M5" s="16">
        <v>520</v>
      </c>
      <c r="N5" s="16">
        <v>933</v>
      </c>
      <c r="O5" s="16">
        <v>850</v>
      </c>
      <c r="P5" s="16">
        <v>784</v>
      </c>
      <c r="Q5" s="16">
        <v>875</v>
      </c>
      <c r="R5" s="16">
        <v>1008</v>
      </c>
      <c r="S5" s="16">
        <v>893</v>
      </c>
      <c r="T5" s="16">
        <v>866</v>
      </c>
      <c r="U5" s="16">
        <v>168</v>
      </c>
      <c r="V5" s="16">
        <v>4</v>
      </c>
      <c r="W5" s="16">
        <v>34</v>
      </c>
      <c r="X5" s="16">
        <v>33</v>
      </c>
      <c r="Y5" s="16">
        <v>23</v>
      </c>
      <c r="Z5" s="16">
        <v>101</v>
      </c>
      <c r="AA5" s="16">
        <v>56</v>
      </c>
      <c r="AB5" s="16">
        <v>5</v>
      </c>
      <c r="AC5" s="16">
        <v>0</v>
      </c>
      <c r="AD5" s="16">
        <v>2</v>
      </c>
      <c r="AE5" s="14">
        <f>SUM(D5:AD5)</f>
        <v>14864</v>
      </c>
    </row>
    <row r="6" spans="1:45" ht="15" customHeight="1">
      <c r="A6" s="35"/>
      <c r="B6" s="31" t="s">
        <v>3</v>
      </c>
      <c r="C6" s="32"/>
      <c r="D6" s="4">
        <f t="shared" ref="D6:L6" si="0">D5/D4</f>
        <v>0.35406946604458267</v>
      </c>
      <c r="E6" s="4">
        <f t="shared" si="0"/>
        <v>0.31951219512195123</v>
      </c>
      <c r="F6" s="4">
        <f t="shared" si="0"/>
        <v>0.49819494584837543</v>
      </c>
      <c r="G6" s="4">
        <f t="shared" si="0"/>
        <v>0.31141998497370399</v>
      </c>
      <c r="H6" s="4">
        <f t="shared" si="0"/>
        <v>0.40336411609498679</v>
      </c>
      <c r="I6" s="4">
        <f t="shared" si="0"/>
        <v>0.36793975255513717</v>
      </c>
      <c r="J6" s="4">
        <f t="shared" si="0"/>
        <v>0.30328638497652582</v>
      </c>
      <c r="K6" s="4">
        <f t="shared" si="0"/>
        <v>0.35161564625850339</v>
      </c>
      <c r="L6" s="4">
        <f t="shared" si="0"/>
        <v>0.40866290018832391</v>
      </c>
      <c r="M6" s="4">
        <f t="shared" ref="M6:R6" si="1">M5/M4</f>
        <v>0.3396472893533638</v>
      </c>
      <c r="N6" s="4">
        <f t="shared" si="1"/>
        <v>0.35870818915801617</v>
      </c>
      <c r="O6" s="4">
        <f t="shared" si="1"/>
        <v>0.37878787878787878</v>
      </c>
      <c r="P6" s="4">
        <f t="shared" si="1"/>
        <v>0.36790239324260909</v>
      </c>
      <c r="Q6" s="4">
        <f t="shared" si="1"/>
        <v>0.38751107174490701</v>
      </c>
      <c r="R6" s="4">
        <f t="shared" si="1"/>
        <v>0.40079522862823064</v>
      </c>
      <c r="S6" s="4">
        <f t="shared" ref="S6:AB6" si="2">S5/S4</f>
        <v>0.35088408644400787</v>
      </c>
      <c r="T6" s="4">
        <f t="shared" si="2"/>
        <v>0.3002773925104022</v>
      </c>
      <c r="U6" s="4">
        <f t="shared" si="2"/>
        <v>0.92817679558011046</v>
      </c>
      <c r="V6" s="4">
        <f t="shared" si="2"/>
        <v>0.8</v>
      </c>
      <c r="W6" s="4">
        <f t="shared" si="2"/>
        <v>0.89473684210526316</v>
      </c>
      <c r="X6" s="4">
        <f t="shared" si="2"/>
        <v>0.91666666666666663</v>
      </c>
      <c r="Y6" s="4">
        <f t="shared" si="2"/>
        <v>0.92</v>
      </c>
      <c r="Z6" s="4">
        <f t="shared" si="2"/>
        <v>0.89380530973451322</v>
      </c>
      <c r="AA6" s="4">
        <f t="shared" si="2"/>
        <v>0.94915254237288138</v>
      </c>
      <c r="AB6" s="4">
        <f t="shared" si="2"/>
        <v>1</v>
      </c>
      <c r="AC6" s="4" t="s">
        <v>51</v>
      </c>
      <c r="AD6" s="4">
        <f t="shared" ref="AC6:AD6" si="3">AD5/AD4</f>
        <v>1</v>
      </c>
      <c r="AE6" s="14">
        <f>SUM(D6:AD6)</f>
        <v>14.50511707839094</v>
      </c>
    </row>
    <row r="7" spans="1:45" ht="15" customHeight="1">
      <c r="A7" s="36"/>
      <c r="B7" s="2" t="s">
        <v>4</v>
      </c>
      <c r="C7" s="5" t="s">
        <v>5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4">
        <f>SUM(D7:AD7)</f>
        <v>0</v>
      </c>
    </row>
    <row r="8" spans="1:45" ht="15" customHeight="1">
      <c r="A8" s="26">
        <v>1</v>
      </c>
      <c r="B8" s="27" t="s">
        <v>22</v>
      </c>
      <c r="C8" s="22" t="s">
        <v>16</v>
      </c>
      <c r="D8" s="17">
        <v>124</v>
      </c>
      <c r="E8" s="16">
        <v>206</v>
      </c>
      <c r="F8" s="16">
        <v>256</v>
      </c>
      <c r="G8" s="17">
        <v>197</v>
      </c>
      <c r="H8" s="16">
        <v>264</v>
      </c>
      <c r="I8" s="16">
        <v>132</v>
      </c>
      <c r="J8" s="16">
        <v>150</v>
      </c>
      <c r="K8" s="16">
        <v>175</v>
      </c>
      <c r="L8" s="16">
        <v>160</v>
      </c>
      <c r="M8" s="16">
        <v>125</v>
      </c>
      <c r="N8" s="16">
        <v>189</v>
      </c>
      <c r="O8" s="16">
        <v>166</v>
      </c>
      <c r="P8" s="16">
        <v>212</v>
      </c>
      <c r="Q8" s="16">
        <v>174</v>
      </c>
      <c r="R8" s="16">
        <v>198</v>
      </c>
      <c r="S8" s="16">
        <v>174</v>
      </c>
      <c r="T8" s="16">
        <v>212</v>
      </c>
      <c r="U8" s="16">
        <v>7</v>
      </c>
      <c r="V8" s="16">
        <v>0</v>
      </c>
      <c r="W8" s="16">
        <v>0</v>
      </c>
      <c r="X8" s="16">
        <v>2</v>
      </c>
      <c r="Y8" s="16">
        <v>1</v>
      </c>
      <c r="Z8" s="16">
        <v>1</v>
      </c>
      <c r="AA8" s="16">
        <v>1</v>
      </c>
      <c r="AB8" s="16">
        <v>0</v>
      </c>
      <c r="AC8" s="16">
        <v>0</v>
      </c>
      <c r="AD8" s="16">
        <v>0</v>
      </c>
      <c r="AE8" s="14">
        <f>SUM(D8:AD8)</f>
        <v>3126</v>
      </c>
    </row>
    <row r="9" spans="1:45" ht="15" customHeight="1">
      <c r="A9" s="26">
        <v>2</v>
      </c>
      <c r="B9" s="24" t="s">
        <v>17</v>
      </c>
      <c r="C9" s="22" t="s">
        <v>20</v>
      </c>
      <c r="D9" s="16">
        <v>486</v>
      </c>
      <c r="E9" s="17">
        <v>513</v>
      </c>
      <c r="F9" s="16">
        <v>1010</v>
      </c>
      <c r="G9" s="16">
        <v>536</v>
      </c>
      <c r="H9" s="16">
        <v>835</v>
      </c>
      <c r="I9" s="16">
        <v>481</v>
      </c>
      <c r="J9" s="16">
        <v>416</v>
      </c>
      <c r="K9" s="16">
        <v>565</v>
      </c>
      <c r="L9" s="16">
        <v>426</v>
      </c>
      <c r="M9" s="16">
        <v>329</v>
      </c>
      <c r="N9" s="16">
        <v>630</v>
      </c>
      <c r="O9" s="16">
        <v>595</v>
      </c>
      <c r="P9" s="16">
        <v>510</v>
      </c>
      <c r="Q9" s="16">
        <v>614</v>
      </c>
      <c r="R9" s="16">
        <v>708</v>
      </c>
      <c r="S9" s="16">
        <v>596</v>
      </c>
      <c r="T9" s="16">
        <v>579</v>
      </c>
      <c r="U9" s="16">
        <v>150</v>
      </c>
      <c r="V9" s="16">
        <v>4</v>
      </c>
      <c r="W9" s="16">
        <v>31</v>
      </c>
      <c r="X9" s="16">
        <v>31</v>
      </c>
      <c r="Y9" s="16">
        <v>22</v>
      </c>
      <c r="Z9" s="16">
        <v>92</v>
      </c>
      <c r="AA9" s="16">
        <v>48</v>
      </c>
      <c r="AB9" s="16">
        <v>4</v>
      </c>
      <c r="AC9" s="16">
        <v>0</v>
      </c>
      <c r="AD9" s="16">
        <v>2</v>
      </c>
      <c r="AE9" s="14">
        <f>SUM(D9:AD9)</f>
        <v>10213</v>
      </c>
    </row>
    <row r="10" spans="1:45" ht="15" customHeight="1">
      <c r="A10" s="26">
        <v>3</v>
      </c>
      <c r="B10" s="24" t="s">
        <v>18</v>
      </c>
      <c r="C10" s="22" t="s">
        <v>21</v>
      </c>
      <c r="D10" s="16">
        <v>31</v>
      </c>
      <c r="E10" s="16">
        <v>32</v>
      </c>
      <c r="F10" s="16">
        <v>48</v>
      </c>
      <c r="G10" s="17">
        <v>18</v>
      </c>
      <c r="H10" s="17">
        <v>37</v>
      </c>
      <c r="I10" s="16">
        <v>21</v>
      </c>
      <c r="J10" s="16">
        <v>16</v>
      </c>
      <c r="K10" s="16">
        <v>21</v>
      </c>
      <c r="L10" s="16">
        <v>22</v>
      </c>
      <c r="M10" s="16">
        <v>14</v>
      </c>
      <c r="N10" s="16">
        <v>44</v>
      </c>
      <c r="O10" s="16">
        <v>28</v>
      </c>
      <c r="P10" s="16">
        <v>18</v>
      </c>
      <c r="Q10" s="16">
        <v>27</v>
      </c>
      <c r="R10" s="16">
        <v>22</v>
      </c>
      <c r="S10" s="16">
        <v>41</v>
      </c>
      <c r="T10" s="16">
        <v>21</v>
      </c>
      <c r="U10" s="16">
        <v>6</v>
      </c>
      <c r="V10" s="16">
        <v>0</v>
      </c>
      <c r="W10" s="16">
        <v>0</v>
      </c>
      <c r="X10" s="16">
        <v>0</v>
      </c>
      <c r="Y10" s="16">
        <v>0</v>
      </c>
      <c r="Z10" s="16">
        <v>1</v>
      </c>
      <c r="AA10" s="16">
        <v>3</v>
      </c>
      <c r="AB10" s="16">
        <v>1</v>
      </c>
      <c r="AC10" s="16">
        <v>0</v>
      </c>
      <c r="AD10" s="16">
        <v>0</v>
      </c>
      <c r="AE10" s="14">
        <f>SUM(D10:AD10)</f>
        <v>472</v>
      </c>
    </row>
    <row r="11" spans="1:45" ht="15" customHeight="1">
      <c r="A11" s="26">
        <v>4</v>
      </c>
      <c r="B11" s="24" t="s">
        <v>19</v>
      </c>
      <c r="C11" s="22" t="s">
        <v>15</v>
      </c>
      <c r="D11" s="17">
        <v>42</v>
      </c>
      <c r="E11" s="16">
        <v>35</v>
      </c>
      <c r="F11" s="16">
        <v>66</v>
      </c>
      <c r="G11" s="16">
        <v>78</v>
      </c>
      <c r="H11" s="16">
        <v>87</v>
      </c>
      <c r="I11" s="16">
        <v>50</v>
      </c>
      <c r="J11" s="16">
        <v>64</v>
      </c>
      <c r="K11" s="16">
        <v>66</v>
      </c>
      <c r="L11" s="16">
        <v>43</v>
      </c>
      <c r="M11" s="16">
        <v>52</v>
      </c>
      <c r="N11" s="16">
        <v>70</v>
      </c>
      <c r="O11" s="16">
        <v>61</v>
      </c>
      <c r="P11" s="16">
        <v>44</v>
      </c>
      <c r="Q11" s="16">
        <v>60</v>
      </c>
      <c r="R11" s="16">
        <v>80</v>
      </c>
      <c r="S11" s="16">
        <v>82</v>
      </c>
      <c r="T11" s="16">
        <v>54</v>
      </c>
      <c r="U11" s="16">
        <v>5</v>
      </c>
      <c r="V11" s="16">
        <v>0</v>
      </c>
      <c r="W11" s="16">
        <v>3</v>
      </c>
      <c r="X11" s="16">
        <v>0</v>
      </c>
      <c r="Y11" s="16">
        <v>0</v>
      </c>
      <c r="Z11" s="16">
        <v>7</v>
      </c>
      <c r="AA11" s="16">
        <v>4</v>
      </c>
      <c r="AB11" s="16">
        <v>0</v>
      </c>
      <c r="AC11" s="16">
        <v>0</v>
      </c>
      <c r="AD11" s="16">
        <v>0</v>
      </c>
      <c r="AE11" s="14">
        <f>SUM(D11:AD11)</f>
        <v>1053</v>
      </c>
    </row>
    <row r="12" spans="1:45" ht="15" customHeight="1">
      <c r="A12" s="42" t="s">
        <v>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4"/>
    </row>
    <row r="13" spans="1:45" ht="15" customHeight="1">
      <c r="A13" s="20"/>
      <c r="B13" s="20" t="s">
        <v>4</v>
      </c>
      <c r="C13" s="20" t="s">
        <v>5</v>
      </c>
      <c r="D13" s="45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7"/>
    </row>
    <row r="14" spans="1:45" ht="15" customHeight="1">
      <c r="A14" s="21">
        <v>1</v>
      </c>
      <c r="B14" s="23" t="s">
        <v>22</v>
      </c>
      <c r="C14" s="22" t="s">
        <v>16</v>
      </c>
      <c r="D14" s="18">
        <f t="shared" ref="D14:L14" si="4">D8/D5</f>
        <v>0.18155197657393851</v>
      </c>
      <c r="E14" s="18">
        <f t="shared" si="4"/>
        <v>0.26208651399491095</v>
      </c>
      <c r="F14" s="18">
        <f t="shared" si="4"/>
        <v>0.1855072463768116</v>
      </c>
      <c r="G14" s="18">
        <f t="shared" si="4"/>
        <v>0.23763570566948131</v>
      </c>
      <c r="H14" s="18">
        <f t="shared" si="4"/>
        <v>0.21586263286999183</v>
      </c>
      <c r="I14" s="18">
        <f t="shared" si="4"/>
        <v>0.19298245614035087</v>
      </c>
      <c r="J14" s="18">
        <f t="shared" si="4"/>
        <v>0.23219814241486067</v>
      </c>
      <c r="K14" s="18">
        <f t="shared" si="4"/>
        <v>0.21160822249093109</v>
      </c>
      <c r="L14" s="18">
        <f t="shared" si="4"/>
        <v>0.24577572964669739</v>
      </c>
      <c r="M14" s="18">
        <f t="shared" ref="M14:AE14" si="5">M8/M5</f>
        <v>0.24038461538461539</v>
      </c>
      <c r="N14" s="18">
        <f t="shared" si="5"/>
        <v>0.20257234726688103</v>
      </c>
      <c r="O14" s="18">
        <f t="shared" si="5"/>
        <v>0.19529411764705881</v>
      </c>
      <c r="P14" s="18">
        <f t="shared" si="5"/>
        <v>0.27040816326530615</v>
      </c>
      <c r="Q14" s="18">
        <f t="shared" si="5"/>
        <v>0.19885714285714284</v>
      </c>
      <c r="R14" s="18">
        <f t="shared" si="5"/>
        <v>0.19642857142857142</v>
      </c>
      <c r="S14" s="18">
        <f t="shared" si="5"/>
        <v>0.1948488241881299</v>
      </c>
      <c r="T14" s="18">
        <f t="shared" si="5"/>
        <v>0.24480369515011546</v>
      </c>
      <c r="U14" s="18">
        <f t="shared" si="5"/>
        <v>4.1666666666666664E-2</v>
      </c>
      <c r="V14" s="18">
        <f t="shared" si="5"/>
        <v>0</v>
      </c>
      <c r="W14" s="18">
        <f t="shared" si="5"/>
        <v>0</v>
      </c>
      <c r="X14" s="18">
        <f t="shared" si="5"/>
        <v>6.0606060606060608E-2</v>
      </c>
      <c r="Y14" s="18">
        <f t="shared" si="5"/>
        <v>4.3478260869565216E-2</v>
      </c>
      <c r="Z14" s="18">
        <f t="shared" si="5"/>
        <v>9.9009900990099011E-3</v>
      </c>
      <c r="AA14" s="18">
        <f t="shared" si="5"/>
        <v>1.7857142857142856E-2</v>
      </c>
      <c r="AB14" s="18">
        <f t="shared" si="5"/>
        <v>0</v>
      </c>
      <c r="AC14" s="18"/>
      <c r="AD14" s="18">
        <f t="shared" si="5"/>
        <v>0</v>
      </c>
      <c r="AE14" s="18">
        <f t="shared" si="5"/>
        <v>0.21030678148546825</v>
      </c>
    </row>
    <row r="15" spans="1:45" ht="15" customHeight="1">
      <c r="A15" s="21">
        <v>2</v>
      </c>
      <c r="B15" s="24" t="s">
        <v>17</v>
      </c>
      <c r="C15" s="19" t="s">
        <v>20</v>
      </c>
      <c r="D15" s="8">
        <f>D9/D5</f>
        <v>0.71156661786237185</v>
      </c>
      <c r="E15" s="8">
        <f t="shared" ref="E15:L15" si="6">E9/E5</f>
        <v>0.65267175572519087</v>
      </c>
      <c r="F15" s="8">
        <f t="shared" si="6"/>
        <v>0.73188405797101452</v>
      </c>
      <c r="G15" s="8">
        <f t="shared" si="6"/>
        <v>0.64656212303980698</v>
      </c>
      <c r="H15" s="8">
        <f t="shared" si="6"/>
        <v>0.68274734260016356</v>
      </c>
      <c r="I15" s="8">
        <f t="shared" si="6"/>
        <v>0.70321637426900585</v>
      </c>
      <c r="J15" s="8">
        <f t="shared" si="6"/>
        <v>0.64396284829721362</v>
      </c>
      <c r="K15" s="8">
        <f t="shared" si="6"/>
        <v>0.68319226118500609</v>
      </c>
      <c r="L15" s="8">
        <f t="shared" si="6"/>
        <v>0.65437788018433185</v>
      </c>
      <c r="M15" s="8">
        <f t="shared" ref="M15:AE15" si="7">M9/M5</f>
        <v>0.63269230769230766</v>
      </c>
      <c r="N15" s="8">
        <f t="shared" si="7"/>
        <v>0.67524115755627012</v>
      </c>
      <c r="O15" s="8">
        <f t="shared" si="7"/>
        <v>0.7</v>
      </c>
      <c r="P15" s="8">
        <f t="shared" si="7"/>
        <v>0.65051020408163263</v>
      </c>
      <c r="Q15" s="8">
        <f t="shared" si="7"/>
        <v>0.70171428571428573</v>
      </c>
      <c r="R15" s="8">
        <f t="shared" si="7"/>
        <v>0.70238095238095233</v>
      </c>
      <c r="S15" s="8">
        <f t="shared" si="7"/>
        <v>0.66741321388577823</v>
      </c>
      <c r="T15" s="8">
        <f t="shared" si="7"/>
        <v>0.6685912240184757</v>
      </c>
      <c r="U15" s="8">
        <f t="shared" si="7"/>
        <v>0.8928571428571429</v>
      </c>
      <c r="V15" s="8">
        <f t="shared" si="7"/>
        <v>1</v>
      </c>
      <c r="W15" s="8">
        <f t="shared" si="7"/>
        <v>0.91176470588235292</v>
      </c>
      <c r="X15" s="8">
        <f t="shared" si="7"/>
        <v>0.93939393939393945</v>
      </c>
      <c r="Y15" s="8">
        <f t="shared" si="7"/>
        <v>0.95652173913043481</v>
      </c>
      <c r="Z15" s="8">
        <f t="shared" si="7"/>
        <v>0.91089108910891092</v>
      </c>
      <c r="AA15" s="8">
        <f t="shared" si="7"/>
        <v>0.8571428571428571</v>
      </c>
      <c r="AB15" s="8">
        <f t="shared" si="7"/>
        <v>0.8</v>
      </c>
      <c r="AC15" s="8"/>
      <c r="AD15" s="8">
        <f t="shared" si="7"/>
        <v>1</v>
      </c>
      <c r="AE15" s="8">
        <f t="shared" si="7"/>
        <v>0.68709634015069965</v>
      </c>
    </row>
    <row r="16" spans="1:45" ht="15" customHeight="1">
      <c r="A16" s="21">
        <v>3</v>
      </c>
      <c r="B16" s="24" t="s">
        <v>18</v>
      </c>
      <c r="C16" s="19" t="s">
        <v>21</v>
      </c>
      <c r="D16" s="8">
        <f>D10/D5</f>
        <v>4.5387994143484628E-2</v>
      </c>
      <c r="E16" s="8">
        <f t="shared" ref="E16:L16" si="8">E10/E5</f>
        <v>4.0712468193384227E-2</v>
      </c>
      <c r="F16" s="8">
        <f t="shared" si="8"/>
        <v>3.4782608695652174E-2</v>
      </c>
      <c r="G16" s="8">
        <f t="shared" si="8"/>
        <v>2.1712907117008445E-2</v>
      </c>
      <c r="H16" s="8">
        <f t="shared" si="8"/>
        <v>3.025347506132461E-2</v>
      </c>
      <c r="I16" s="8">
        <f t="shared" si="8"/>
        <v>3.0701754385964911E-2</v>
      </c>
      <c r="J16" s="8">
        <f t="shared" si="8"/>
        <v>2.4767801857585141E-2</v>
      </c>
      <c r="K16" s="8">
        <f t="shared" si="8"/>
        <v>2.539298669891173E-2</v>
      </c>
      <c r="L16" s="8">
        <f t="shared" si="8"/>
        <v>3.3794162826420893E-2</v>
      </c>
      <c r="M16" s="8">
        <f t="shared" ref="M16:AE16" si="9">M10/M5</f>
        <v>2.6923076923076925E-2</v>
      </c>
      <c r="N16" s="8">
        <f t="shared" si="9"/>
        <v>4.7159699892818867E-2</v>
      </c>
      <c r="O16" s="8">
        <f t="shared" si="9"/>
        <v>3.2941176470588238E-2</v>
      </c>
      <c r="P16" s="8">
        <f t="shared" si="9"/>
        <v>2.2959183673469389E-2</v>
      </c>
      <c r="Q16" s="8">
        <f t="shared" si="9"/>
        <v>3.0857142857142857E-2</v>
      </c>
      <c r="R16" s="8">
        <f t="shared" si="9"/>
        <v>2.1825396825396824E-2</v>
      </c>
      <c r="S16" s="8">
        <f t="shared" si="9"/>
        <v>4.591265397536394E-2</v>
      </c>
      <c r="T16" s="8">
        <f t="shared" si="9"/>
        <v>2.4249422632794459E-2</v>
      </c>
      <c r="U16" s="8">
        <f t="shared" si="9"/>
        <v>3.5714285714285712E-2</v>
      </c>
      <c r="V16" s="8">
        <f t="shared" si="9"/>
        <v>0</v>
      </c>
      <c r="W16" s="8">
        <f t="shared" si="9"/>
        <v>0</v>
      </c>
      <c r="X16" s="8">
        <f t="shared" si="9"/>
        <v>0</v>
      </c>
      <c r="Y16" s="8">
        <f t="shared" si="9"/>
        <v>0</v>
      </c>
      <c r="Z16" s="8">
        <f t="shared" si="9"/>
        <v>9.9009900990099011E-3</v>
      </c>
      <c r="AA16" s="8">
        <f t="shared" si="9"/>
        <v>5.3571428571428568E-2</v>
      </c>
      <c r="AB16" s="8">
        <f t="shared" si="9"/>
        <v>0.2</v>
      </c>
      <c r="AC16" s="8"/>
      <c r="AD16" s="8">
        <f t="shared" si="9"/>
        <v>0</v>
      </c>
      <c r="AE16" s="8">
        <f t="shared" si="9"/>
        <v>3.1754574811625406E-2</v>
      </c>
    </row>
    <row r="17" spans="1:31" ht="15" customHeight="1">
      <c r="A17" s="21">
        <v>4</v>
      </c>
      <c r="B17" s="24" t="s">
        <v>19</v>
      </c>
      <c r="C17" s="19" t="s">
        <v>15</v>
      </c>
      <c r="D17" s="8">
        <f>D11/D5</f>
        <v>6.149341142020498E-2</v>
      </c>
      <c r="E17" s="8">
        <f t="shared" ref="E17:L17" si="10">E11/E5</f>
        <v>4.4529262086513997E-2</v>
      </c>
      <c r="F17" s="8">
        <f t="shared" si="10"/>
        <v>4.7826086956521741E-2</v>
      </c>
      <c r="G17" s="8">
        <f t="shared" si="10"/>
        <v>9.4089264173703252E-2</v>
      </c>
      <c r="H17" s="8">
        <f t="shared" si="10"/>
        <v>7.1136549468520036E-2</v>
      </c>
      <c r="I17" s="8">
        <f t="shared" si="10"/>
        <v>7.3099415204678359E-2</v>
      </c>
      <c r="J17" s="8">
        <f t="shared" si="10"/>
        <v>9.9071207430340563E-2</v>
      </c>
      <c r="K17" s="8">
        <f t="shared" si="10"/>
        <v>7.9806529625151154E-2</v>
      </c>
      <c r="L17" s="8">
        <f t="shared" si="10"/>
        <v>6.6052227342549924E-2</v>
      </c>
      <c r="M17" s="8">
        <f t="shared" ref="M17:AE17" si="11">M11/M5</f>
        <v>0.1</v>
      </c>
      <c r="N17" s="8">
        <f t="shared" si="11"/>
        <v>7.5026795284030015E-2</v>
      </c>
      <c r="O17" s="8">
        <f t="shared" si="11"/>
        <v>7.1764705882352939E-2</v>
      </c>
      <c r="P17" s="8">
        <f t="shared" si="11"/>
        <v>5.6122448979591837E-2</v>
      </c>
      <c r="Q17" s="8">
        <f t="shared" si="11"/>
        <v>6.8571428571428575E-2</v>
      </c>
      <c r="R17" s="8">
        <f t="shared" si="11"/>
        <v>7.9365079365079361E-2</v>
      </c>
      <c r="S17" s="8">
        <f t="shared" si="11"/>
        <v>9.182530795072788E-2</v>
      </c>
      <c r="T17" s="8">
        <f t="shared" si="11"/>
        <v>6.2355658198614321E-2</v>
      </c>
      <c r="U17" s="8">
        <f t="shared" si="11"/>
        <v>2.976190476190476E-2</v>
      </c>
      <c r="V17" s="8">
        <f t="shared" si="11"/>
        <v>0</v>
      </c>
      <c r="W17" s="8">
        <f t="shared" si="11"/>
        <v>8.8235294117647065E-2</v>
      </c>
      <c r="X17" s="8">
        <f t="shared" si="11"/>
        <v>0</v>
      </c>
      <c r="Y17" s="8">
        <f t="shared" si="11"/>
        <v>0</v>
      </c>
      <c r="Z17" s="8">
        <f t="shared" si="11"/>
        <v>6.9306930693069313E-2</v>
      </c>
      <c r="AA17" s="8">
        <f t="shared" si="11"/>
        <v>7.1428571428571425E-2</v>
      </c>
      <c r="AB17" s="8">
        <f t="shared" si="11"/>
        <v>0</v>
      </c>
      <c r="AC17" s="8"/>
      <c r="AD17" s="8">
        <f t="shared" si="11"/>
        <v>0</v>
      </c>
      <c r="AE17" s="8">
        <f t="shared" si="11"/>
        <v>7.0842303552206679E-2</v>
      </c>
    </row>
    <row r="18" spans="1:31" ht="15" customHeight="1">
      <c r="B18" s="25"/>
      <c r="E18" s="7"/>
    </row>
    <row r="19" spans="1:31" ht="15" customHeight="1">
      <c r="A19" s="34" t="s">
        <v>7</v>
      </c>
      <c r="B19" s="33"/>
      <c r="C19" s="33"/>
      <c r="D19" s="32"/>
      <c r="E19" s="7"/>
      <c r="G19" s="10"/>
      <c r="H19" s="11"/>
    </row>
    <row r="20" spans="1:31" ht="15" customHeight="1">
      <c r="A20" s="9" t="s">
        <v>8</v>
      </c>
      <c r="B20" s="9" t="s">
        <v>9</v>
      </c>
      <c r="C20" s="9" t="s">
        <v>10</v>
      </c>
      <c r="D20" s="9" t="s">
        <v>11</v>
      </c>
      <c r="E20" s="7"/>
      <c r="G20" s="12" t="s">
        <v>12</v>
      </c>
      <c r="H20" s="12" t="s">
        <v>13</v>
      </c>
    </row>
    <row r="21" spans="1:31" ht="15" customHeight="1">
      <c r="A21" s="13">
        <f>_xlfn.STDEV.P(D6:L6)</f>
        <v>5.7786442243126464E-2</v>
      </c>
      <c r="B21" s="13">
        <f>AVERAGE(D6:L6)</f>
        <v>0.36867393245134339</v>
      </c>
      <c r="C21" s="13">
        <f>B21-A21</f>
        <v>0.31088749020821693</v>
      </c>
      <c r="D21" s="13">
        <f>B21+A21</f>
        <v>0.42646037469446985</v>
      </c>
    </row>
    <row r="22" spans="1:31" ht="15" customHeight="1">
      <c r="A22" s="34" t="s">
        <v>6</v>
      </c>
      <c r="B22" s="33"/>
      <c r="C22" s="33"/>
      <c r="D22" s="33"/>
      <c r="E22" s="32"/>
    </row>
    <row r="23" spans="1:31" ht="15" customHeight="1">
      <c r="A23" s="9" t="s">
        <v>14</v>
      </c>
      <c r="B23" s="9" t="s">
        <v>8</v>
      </c>
      <c r="C23" s="9" t="s">
        <v>9</v>
      </c>
      <c r="D23" s="9" t="s">
        <v>10</v>
      </c>
      <c r="E23" s="9" t="s">
        <v>11</v>
      </c>
    </row>
    <row r="24" spans="1:31" ht="15" customHeight="1">
      <c r="A24" s="23" t="s">
        <v>22</v>
      </c>
      <c r="B24" s="8">
        <f>_xlfn.STDEV.P(D14:L14)</f>
        <v>2.6576209593067297E-2</v>
      </c>
      <c r="C24" s="8">
        <f>AVERAGE(D14:L14)</f>
        <v>0.21835651401977488</v>
      </c>
      <c r="D24" s="8">
        <f>C24-B24</f>
        <v>0.19178030442670757</v>
      </c>
      <c r="E24" s="8">
        <f>C24+B24</f>
        <v>0.24493272361284218</v>
      </c>
    </row>
    <row r="25" spans="1:31" ht="15" customHeight="1">
      <c r="A25" s="24" t="s">
        <v>17</v>
      </c>
      <c r="B25" s="8">
        <f>_xlfn.STDEV.P(D15:L15)</f>
        <v>2.9915672611297312E-2</v>
      </c>
      <c r="C25" s="8">
        <f>AVERAGE(D15:L15)</f>
        <v>0.67890902901490069</v>
      </c>
      <c r="D25" s="8">
        <f>C25-B25</f>
        <v>0.64899335640360334</v>
      </c>
      <c r="E25" s="8">
        <f>C25+B25</f>
        <v>0.70882470162619804</v>
      </c>
    </row>
    <row r="26" spans="1:31" ht="15" customHeight="1">
      <c r="A26" s="24" t="s">
        <v>18</v>
      </c>
      <c r="B26" s="8">
        <f>_xlfn.STDEV.P(D16:L16)</f>
        <v>7.2464375055535614E-3</v>
      </c>
      <c r="C26" s="8">
        <f>AVERAGE(D16:L16)</f>
        <v>3.1945128775526306E-2</v>
      </c>
      <c r="D26" s="8">
        <f>C26-B26</f>
        <v>2.4698691269972744E-2</v>
      </c>
      <c r="E26" s="8">
        <f>C26+B26</f>
        <v>3.9191566281079865E-2</v>
      </c>
    </row>
    <row r="27" spans="1:31" ht="15" customHeight="1">
      <c r="A27" s="24" t="s">
        <v>19</v>
      </c>
      <c r="B27" s="8">
        <f>_xlfn.STDEV.P(D17:L17)</f>
        <v>1.7496902612557371E-2</v>
      </c>
      <c r="C27" s="8">
        <f>AVERAGE(D17:L17)</f>
        <v>7.0789328189798217E-2</v>
      </c>
      <c r="D27" s="8">
        <f>C27-B27</f>
        <v>5.3292425577240843E-2</v>
      </c>
      <c r="E27" s="8">
        <f>C27+B27</f>
        <v>8.8286230802355592E-2</v>
      </c>
    </row>
    <row r="28" spans="1:31" ht="15" customHeight="1"/>
    <row r="29" spans="1:31" ht="15" customHeight="1"/>
    <row r="30" spans="1:31" ht="49.9" customHeight="1"/>
    <row r="31" spans="1:31" ht="49.9" customHeight="1"/>
    <row r="32" spans="1:31" ht="49.9" customHeight="1"/>
    <row r="33" ht="49.9" customHeight="1"/>
    <row r="34" ht="49.9" customHeight="1"/>
    <row r="63" ht="55.15" customHeight="1"/>
    <row r="64" ht="27.6" customHeight="1"/>
    <row r="66" ht="55.15" customHeight="1"/>
  </sheetData>
  <mergeCells count="11">
    <mergeCell ref="B6:C6"/>
    <mergeCell ref="A19:D19"/>
    <mergeCell ref="A22:E22"/>
    <mergeCell ref="A1:A7"/>
    <mergeCell ref="B3:C3"/>
    <mergeCell ref="B4:C4"/>
    <mergeCell ref="B5:C5"/>
    <mergeCell ref="B1:AE1"/>
    <mergeCell ref="B2:AE2"/>
    <mergeCell ref="A12:AE12"/>
    <mergeCell ref="D13:A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2026-03-11T21:06:29Z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